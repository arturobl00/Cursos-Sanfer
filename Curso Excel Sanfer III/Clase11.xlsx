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D:\Escritorio\DOCUMETOS\Curso Excel Sanfer III\"/>
    </mc:Choice>
  </mc:AlternateContent>
  <bookViews>
    <workbookView xWindow="0" yWindow="0" windowWidth="20490" windowHeight="7650" activeTab="1"/>
  </bookViews>
  <sheets>
    <sheet name="BaseDatos" sheetId="1" r:id="rId1"/>
    <sheet name="TablasDinamicas" sheetId="2" r:id="rId2"/>
    <sheet name="Dashboard" sheetId="3" r:id="rId3"/>
  </sheets>
  <definedNames>
    <definedName name="SegmentaciónDeDatos_Años">#N/A</definedName>
    <definedName name="SegmentaciónDeDatos_Marca">#N/A</definedName>
    <definedName name="SegmentaciónDeDatos_Producto">#N/A</definedName>
    <definedName name="SegmentaciónDeDatos_Producto1">#N/A</definedName>
    <definedName name="SegmentaciónDeDatos_VENDEDOR">#N/A</definedName>
  </definedNames>
  <calcPr calcId="162913"/>
  <pivotCaches>
    <pivotCache cacheId="3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4" i="1" l="1"/>
  <c r="I32" i="1"/>
  <c r="I48" i="1"/>
  <c r="I96" i="1"/>
  <c r="I30" i="1"/>
  <c r="I111" i="1"/>
  <c r="E2" i="1"/>
  <c r="I2" i="1" s="1"/>
  <c r="E3" i="1"/>
  <c r="I3" i="1" s="1"/>
  <c r="E4" i="1"/>
  <c r="I4" i="1" s="1"/>
  <c r="E5" i="1"/>
  <c r="I5" i="1" s="1"/>
  <c r="E6" i="1"/>
  <c r="I6" i="1" s="1"/>
  <c r="E7" i="1"/>
  <c r="I7" i="1" s="1"/>
  <c r="E8" i="1"/>
  <c r="I8" i="1" s="1"/>
  <c r="E9" i="1"/>
  <c r="I9" i="1" s="1"/>
  <c r="E10" i="1"/>
  <c r="I10" i="1" s="1"/>
  <c r="E11" i="1"/>
  <c r="I11" i="1" s="1"/>
  <c r="E12" i="1"/>
  <c r="I12" i="1" s="1"/>
  <c r="E13" i="1"/>
  <c r="I13" i="1" s="1"/>
  <c r="E14" i="1"/>
  <c r="I14" i="1" s="1"/>
  <c r="E15" i="1"/>
  <c r="I15" i="1" s="1"/>
  <c r="E16" i="1"/>
  <c r="I16" i="1" s="1"/>
  <c r="E17" i="1"/>
  <c r="I17" i="1" s="1"/>
  <c r="E18" i="1"/>
  <c r="I18" i="1" s="1"/>
  <c r="E19" i="1"/>
  <c r="I19" i="1" s="1"/>
  <c r="E20" i="1"/>
  <c r="I20" i="1" s="1"/>
  <c r="E21" i="1"/>
  <c r="I21" i="1" s="1"/>
  <c r="E22" i="1"/>
  <c r="I22" i="1" s="1"/>
  <c r="E23" i="1"/>
  <c r="I23" i="1" s="1"/>
  <c r="E24" i="1"/>
  <c r="E25" i="1"/>
  <c r="I25" i="1" s="1"/>
  <c r="E26" i="1"/>
  <c r="I26" i="1" s="1"/>
  <c r="E27" i="1"/>
  <c r="I27" i="1" s="1"/>
  <c r="E28" i="1"/>
  <c r="I28" i="1" s="1"/>
  <c r="E29" i="1"/>
  <c r="I29" i="1" s="1"/>
  <c r="E30" i="1"/>
  <c r="E31" i="1"/>
  <c r="I31" i="1" s="1"/>
  <c r="E32" i="1"/>
  <c r="E33" i="1"/>
  <c r="I33" i="1" s="1"/>
  <c r="E34" i="1"/>
  <c r="I34" i="1" s="1"/>
  <c r="E35" i="1"/>
  <c r="I35" i="1" s="1"/>
  <c r="E36" i="1"/>
  <c r="I36" i="1" s="1"/>
  <c r="E37" i="1"/>
  <c r="I37" i="1" s="1"/>
  <c r="E38" i="1"/>
  <c r="I38" i="1" s="1"/>
  <c r="E39" i="1"/>
  <c r="I39" i="1" s="1"/>
  <c r="E40" i="1"/>
  <c r="I40" i="1" s="1"/>
  <c r="E41" i="1"/>
  <c r="I41" i="1" s="1"/>
  <c r="E42" i="1"/>
  <c r="I42" i="1" s="1"/>
  <c r="E43" i="1"/>
  <c r="I43" i="1" s="1"/>
  <c r="E44" i="1"/>
  <c r="I44" i="1" s="1"/>
  <c r="E45" i="1"/>
  <c r="I45" i="1" s="1"/>
  <c r="E46" i="1"/>
  <c r="I46" i="1" s="1"/>
  <c r="E47" i="1"/>
  <c r="I47" i="1" s="1"/>
  <c r="E48" i="1"/>
  <c r="E49" i="1"/>
  <c r="I49" i="1" s="1"/>
  <c r="E50" i="1"/>
  <c r="I50" i="1" s="1"/>
  <c r="E51" i="1"/>
  <c r="I51" i="1" s="1"/>
  <c r="E52" i="1"/>
  <c r="I52" i="1" s="1"/>
  <c r="E53" i="1"/>
  <c r="I53" i="1" s="1"/>
  <c r="E54" i="1"/>
  <c r="I54" i="1" s="1"/>
  <c r="E55" i="1"/>
  <c r="I55" i="1" s="1"/>
  <c r="E56" i="1"/>
  <c r="I56" i="1" s="1"/>
  <c r="E57" i="1"/>
  <c r="I57" i="1" s="1"/>
  <c r="E58" i="1"/>
  <c r="I58" i="1" s="1"/>
  <c r="E59" i="1"/>
  <c r="I59" i="1" s="1"/>
  <c r="E60" i="1"/>
  <c r="I60" i="1" s="1"/>
  <c r="E61" i="1"/>
  <c r="I61" i="1" s="1"/>
  <c r="E62" i="1"/>
  <c r="I62" i="1" s="1"/>
  <c r="E63" i="1"/>
  <c r="I63" i="1" s="1"/>
  <c r="E64" i="1"/>
  <c r="I64" i="1" s="1"/>
  <c r="E65" i="1"/>
  <c r="I65" i="1" s="1"/>
  <c r="E66" i="1"/>
  <c r="I66" i="1" s="1"/>
  <c r="E67" i="1"/>
  <c r="I67" i="1" s="1"/>
  <c r="E68" i="1"/>
  <c r="I68" i="1" s="1"/>
  <c r="E69" i="1"/>
  <c r="I69" i="1" s="1"/>
  <c r="E70" i="1"/>
  <c r="I70" i="1" s="1"/>
  <c r="E71" i="1"/>
  <c r="I71" i="1" s="1"/>
  <c r="E72" i="1"/>
  <c r="I72" i="1" s="1"/>
  <c r="E73" i="1"/>
  <c r="I73" i="1" s="1"/>
  <c r="E74" i="1"/>
  <c r="I74" i="1" s="1"/>
  <c r="E75" i="1"/>
  <c r="I75" i="1" s="1"/>
  <c r="E76" i="1"/>
  <c r="I76" i="1" s="1"/>
  <c r="E77" i="1"/>
  <c r="I77" i="1" s="1"/>
  <c r="E78" i="1"/>
  <c r="I78" i="1" s="1"/>
  <c r="E79" i="1"/>
  <c r="I79" i="1" s="1"/>
  <c r="E80" i="1"/>
  <c r="I80" i="1" s="1"/>
  <c r="E81" i="1"/>
  <c r="I81" i="1" s="1"/>
  <c r="E82" i="1"/>
  <c r="I82" i="1" s="1"/>
  <c r="E83" i="1"/>
  <c r="I83" i="1" s="1"/>
  <c r="E84" i="1"/>
  <c r="I84" i="1" s="1"/>
  <c r="E85" i="1"/>
  <c r="I85" i="1" s="1"/>
  <c r="E86" i="1"/>
  <c r="I86" i="1" s="1"/>
  <c r="E87" i="1"/>
  <c r="I87" i="1" s="1"/>
  <c r="E88" i="1"/>
  <c r="I88" i="1" s="1"/>
  <c r="E89" i="1"/>
  <c r="I89" i="1" s="1"/>
  <c r="E90" i="1"/>
  <c r="I90" i="1" s="1"/>
  <c r="E91" i="1"/>
  <c r="I91" i="1" s="1"/>
  <c r="E92" i="1"/>
  <c r="I92" i="1" s="1"/>
  <c r="E93" i="1"/>
  <c r="I93" i="1" s="1"/>
  <c r="E94" i="1"/>
  <c r="I94" i="1" s="1"/>
  <c r="E95" i="1"/>
  <c r="I95" i="1" s="1"/>
  <c r="E96" i="1"/>
  <c r="E97" i="1"/>
  <c r="I97" i="1" s="1"/>
  <c r="E98" i="1"/>
  <c r="I98" i="1" s="1"/>
  <c r="E99" i="1"/>
  <c r="I99" i="1" s="1"/>
  <c r="E100" i="1"/>
  <c r="I100" i="1" s="1"/>
  <c r="E101" i="1"/>
  <c r="I101" i="1" s="1"/>
  <c r="E102" i="1"/>
  <c r="I102" i="1" s="1"/>
  <c r="E103" i="1"/>
  <c r="I103" i="1" s="1"/>
  <c r="E104" i="1"/>
  <c r="I104" i="1" s="1"/>
  <c r="E105" i="1"/>
  <c r="I105" i="1" s="1"/>
  <c r="E106" i="1"/>
  <c r="I106" i="1" s="1"/>
  <c r="E107" i="1"/>
  <c r="I107" i="1" s="1"/>
  <c r="E108" i="1"/>
  <c r="I108" i="1" s="1"/>
  <c r="E109" i="1"/>
  <c r="I109" i="1" s="1"/>
  <c r="E110" i="1"/>
  <c r="I110" i="1" s="1"/>
  <c r="E111" i="1"/>
  <c r="E112" i="1"/>
  <c r="I112" i="1" s="1"/>
  <c r="C38" i="2"/>
  <c r="B38" i="2"/>
</calcChain>
</file>

<file path=xl/sharedStrings.xml><?xml version="1.0" encoding="utf-8"?>
<sst xmlns="http://schemas.openxmlformats.org/spreadsheetml/2006/main" count="521" uniqueCount="69">
  <si>
    <t>FECHA</t>
  </si>
  <si>
    <t>VENDEDOR</t>
  </si>
  <si>
    <t>DESCRIPCIÓN</t>
  </si>
  <si>
    <t>JUAN</t>
  </si>
  <si>
    <t>3412- HP MOUSE INALAMBRICO GHz</t>
  </si>
  <si>
    <t>MANUEL</t>
  </si>
  <si>
    <t>1149- ACER MONITOR LED Y200</t>
  </si>
  <si>
    <t>DANIELA</t>
  </si>
  <si>
    <t>7622- HP LAPTOP X200 GRIS</t>
  </si>
  <si>
    <t>6387- EPSON IMPRESORA L1110 INKJET</t>
  </si>
  <si>
    <t>MARTA</t>
  </si>
  <si>
    <t>9748- HP LAPTOP A96LT LT (I3 I3,4GB GB,1TB</t>
  </si>
  <si>
    <t>6346- LOGITECH MOUSE M170 INALAMBRICO USB</t>
  </si>
  <si>
    <t>3499- LENOVO LAPTOP IP IGL05</t>
  </si>
  <si>
    <t>6602- LENOVO USB TB NEGRO</t>
  </si>
  <si>
    <t>CARLOS</t>
  </si>
  <si>
    <t>1769- DELL MOCHILA PARA LAPTOP ES BP 15 20</t>
  </si>
  <si>
    <t>7777- HP IMPRESORA MULTIFUNCION 2375</t>
  </si>
  <si>
    <t>3544- DELL LAPTOP K2DJ7 DJ7 (I7 I7,8GB GB,256GB GB SSD</t>
  </si>
  <si>
    <t>7913- LOGITECH MOUSE M280 NEG GRIS</t>
  </si>
  <si>
    <t>2796- LENOVO USB 3 0 32GBZ</t>
  </si>
  <si>
    <t>3058- LENOVO MOUSE M200 AZUL</t>
  </si>
  <si>
    <t>4023- HP LAPTOP PAVILION 15 LA CORE I5 15 PULG</t>
  </si>
  <si>
    <t>3020- ACER MONITOR S2719 27 PULGADAS 1920X1080</t>
  </si>
  <si>
    <t>3930- LENOVO MOUSE MINI RETRACTIL</t>
  </si>
  <si>
    <t>3214- ACER MONITOR LED NEGRO</t>
  </si>
  <si>
    <t>3234- HP MOUSE 3600 BLUETOOTH</t>
  </si>
  <si>
    <t>1673- HP MOUSE NEGRO CX20</t>
  </si>
  <si>
    <t>9928- HP MOCHILA 6 A100 SUPER</t>
  </si>
  <si>
    <t>7437- HP MOCHILA LAPTOP B200 VERDE</t>
  </si>
  <si>
    <t>5091- DELL MONITOR E2216HV HV (21 5 PULG VGA</t>
  </si>
  <si>
    <t>7942- DELL LAPTOP A500</t>
  </si>
  <si>
    <t>3714- HP IMPRESORA WIFI X200</t>
  </si>
  <si>
    <t>1131- HP LAPTOP 13 LA ZW20LA LA-COREI7 COREI7-8550U</t>
  </si>
  <si>
    <t>8075- HP LAPTOP CI00 NEGRO Y GRIS</t>
  </si>
  <si>
    <t>6144- ACER LAPTOP AMD RYZEN 3550H 12GB RAM GTX 1650</t>
  </si>
  <si>
    <t>5544- ACER MONITOR UM-HX0AA P0 NITRO 27¨</t>
  </si>
  <si>
    <t>5580- ACER LAPTOP ASPIRE 3 INTEL 500GB NEGRO</t>
  </si>
  <si>
    <t>5542- ACER UM HV0AA 008 27¨ IPS FHD NEGRO</t>
  </si>
  <si>
    <t>9297- EPSON IMPRESORA L5190 VERDE</t>
  </si>
  <si>
    <t>8861- EPSON IMPRESORA MATRIZ LX350</t>
  </si>
  <si>
    <t>7048- EPSON IMPRESORA M2170 NEGRO</t>
  </si>
  <si>
    <t>Precio Dolares</t>
  </si>
  <si>
    <t>Precio Pesos</t>
  </si>
  <si>
    <t>Marca</t>
  </si>
  <si>
    <t>HP</t>
  </si>
  <si>
    <t>ACER</t>
  </si>
  <si>
    <t>EPSON</t>
  </si>
  <si>
    <t>LOGITECH</t>
  </si>
  <si>
    <t>LENOVO</t>
  </si>
  <si>
    <t>DELL</t>
  </si>
  <si>
    <t>Producto</t>
  </si>
  <si>
    <t>MOUSE</t>
  </si>
  <si>
    <t>MONITOR</t>
  </si>
  <si>
    <t>LAPTOP</t>
  </si>
  <si>
    <t>IMPRESORA</t>
  </si>
  <si>
    <t>USB</t>
  </si>
  <si>
    <t>MOCHILA</t>
  </si>
  <si>
    <t>UM</t>
  </si>
  <si>
    <t>Cantidad</t>
  </si>
  <si>
    <t>Venta Realizada</t>
  </si>
  <si>
    <t>Suma de Venta Realizada</t>
  </si>
  <si>
    <t>Etiquetas de fila</t>
  </si>
  <si>
    <t>Total general</t>
  </si>
  <si>
    <t>2020</t>
  </si>
  <si>
    <t>2021</t>
  </si>
  <si>
    <t>Top Productos</t>
  </si>
  <si>
    <t>Totales en Ventas</t>
  </si>
  <si>
    <t>Etiquetas de columna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</si>
</sst>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* #,##0.00_-;\-&quot;$&quot;* #,##0.00_-;_-&quot;$&quot;* &quot;-&quot;??_-;_-@_-"/>
    <numFmt numFmtId="164" formatCode="[$-1540A]dd\-mmm\-yy;@"/>
    <numFmt numFmtId="165" formatCode="&quot;$&quot;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44" fontId="1" fillId="0" borderId="0" applyFont="0" applyFill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0" fontId="1" fillId="7" borderId="1" applyNumberFormat="0" applyFont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0" xfId="1"/>
    <xf numFmtId="0" fontId="2" fillId="3" borderId="0" xfId="2"/>
    <xf numFmtId="164" fontId="0" fillId="0" borderId="0" xfId="0" applyNumberFormat="1" applyAlignment="1">
      <alignment horizontal="center"/>
    </xf>
    <xf numFmtId="0" fontId="0" fillId="0" borderId="0" xfId="0" applyNumberFormat="1"/>
    <xf numFmtId="165" fontId="0" fillId="0" borderId="0" xfId="3" applyNumberFormat="1" applyFont="1"/>
    <xf numFmtId="0" fontId="5" fillId="6" borderId="0" xfId="6"/>
    <xf numFmtId="0" fontId="2" fillId="8" borderId="0" xfId="8"/>
    <xf numFmtId="0" fontId="6" fillId="7" borderId="1" xfId="7" applyFont="1"/>
    <xf numFmtId="0" fontId="4" fillId="5" borderId="0" xfId="5"/>
    <xf numFmtId="0" fontId="3" fillId="4" borderId="0" xfId="4"/>
    <xf numFmtId="165" fontId="0" fillId="0" borderId="0" xfId="0" applyNumberFormat="1"/>
    <xf numFmtId="0" fontId="6" fillId="9" borderId="0" xfId="9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10" borderId="0" xfId="0" applyFill="1"/>
    <xf numFmtId="0" fontId="0" fillId="0" borderId="0" xfId="0" applyAlignment="1">
      <alignment horizontal="left" indent="1"/>
    </xf>
    <xf numFmtId="0" fontId="7" fillId="0" borderId="2" xfId="0" applyFont="1" applyBorder="1"/>
    <xf numFmtId="0" fontId="7" fillId="0" borderId="2" xfId="0" applyNumberFormat="1" applyFont="1" applyBorder="1"/>
    <xf numFmtId="9" fontId="7" fillId="0" borderId="2" xfId="10" applyFont="1" applyBorder="1"/>
  </cellXfs>
  <cellStyles count="11">
    <cellStyle name="Bueno" xfId="4" builtinId="26"/>
    <cellStyle name="Énfasis1" xfId="1" builtinId="29"/>
    <cellStyle name="Énfasis2" xfId="8" builtinId="33"/>
    <cellStyle name="Énfasis4" xfId="9" builtinId="41"/>
    <cellStyle name="Énfasis6" xfId="2" builtinId="49"/>
    <cellStyle name="Incorrecto" xfId="5" builtinId="27"/>
    <cellStyle name="Moneda" xfId="3" builtinId="4"/>
    <cellStyle name="Neutral" xfId="6" builtinId="28"/>
    <cellStyle name="Normal" xfId="0" builtinId="0"/>
    <cellStyle name="Notas" xfId="7" builtinId="10"/>
    <cellStyle name="Porcentaje" xfId="10" builtinId="5"/>
  </cellStyles>
  <dxfs count="21"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165" formatCode="&quot;$&quot;#,##0.0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[$-1540A]dd\-mmm\-yy;@"/>
      <alignment horizontal="center" vertical="bottom" textRotation="0" wrapText="0" indent="0" justifyLastLine="0" shrinkToFit="0" readingOrder="0"/>
    </dxf>
    <dxf>
      <fill>
        <patternFill patternType="solid">
          <fgColor theme="7" tint="0.79998168889431442"/>
          <bgColor theme="7" tint="0.79998168889431442"/>
        </patternFill>
      </fill>
      <border>
        <bottom style="thin">
          <color theme="7" tint="0.39997558519241921"/>
        </bottom>
      </border>
    </dxf>
    <dxf>
      <fill>
        <patternFill patternType="solid">
          <fgColor theme="7" tint="0.79998168889431442"/>
          <bgColor theme="7" tint="0.79998168889431442"/>
        </patternFill>
      </fill>
      <border>
        <bottom style="thin">
          <color theme="7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7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7" tint="0.79998168889431442"/>
          <bgColor theme="7" tint="0.79998168889431442"/>
        </patternFill>
      </fill>
      <border>
        <top style="thin">
          <color theme="7" tint="0.39997558519241921"/>
        </top>
      </border>
    </dxf>
    <dxf>
      <font>
        <b/>
        <color theme="1"/>
      </font>
      <fill>
        <patternFill patternType="solid">
          <fgColor theme="7" tint="0.79998168889431442"/>
          <bgColor theme="7" tint="0.79998168889431442"/>
        </patternFill>
      </fill>
      <border>
        <bottom style="thin">
          <color theme="7" tint="0.3999755851924192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color theme="1"/>
      </font>
      <fill>
        <patternFill>
          <bgColor theme="7" tint="0.59996337778862885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miestilo" pivot="0" table="0" count="10">
      <tableStyleElement type="wholeTable" dxfId="20"/>
      <tableStyleElement type="headerRow" dxfId="19"/>
    </tableStyle>
    <tableStyle name="miestilo2" table="0" count="12">
      <tableStyleElement type="wholeTable" dxfId="18"/>
      <tableStyleElement type="headerRow" dxfId="17"/>
      <tableStyleElement type="totalRow" dxfId="16"/>
      <tableStyleElement type="firstRowStripe" dxfId="15"/>
      <tableStyleElement type="firstColumnStripe" dxfId="14"/>
      <tableStyleElement type="firstSubtotalColumn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FF000F2E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8"/>
              <bgColor theme="8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miestilo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tyles" Target="styles.xml"/><Relationship Id="rId5" Type="http://schemas.microsoft.com/office/2007/relationships/slicerCache" Target="slicerCaches/slicerCache1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[Clase11.xlsx]TablasDinamicas!VENTASXAÑO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DE PRODUCTOS POR AÑO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</c:pivotFmt>
      <c:pivotFmt>
        <c:idx val="1"/>
        <c:spPr>
          <a:noFill/>
          <a:ln w="25400" cap="flat" cmpd="sng" algn="ctr">
            <a:solidFill>
              <a:schemeClr val="accent2"/>
            </a:solidFill>
            <a:miter lim="800000"/>
          </a:ln>
          <a:effectLst/>
        </c:spPr>
        <c:marker>
          <c:symbol val="circle"/>
          <c:size val="6"/>
          <c:spPr>
            <a:noFill/>
            <a:ln w="19050" cap="rnd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5400" cap="flat" cmpd="sng" algn="ctr">
            <a:solidFill>
              <a:schemeClr val="accent2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5400" cap="flat" cmpd="sng" algn="ctr">
            <a:solidFill>
              <a:schemeClr val="accent2"/>
            </a:solidFill>
            <a:miter lim="800000"/>
          </a:ln>
          <a:effectLst/>
        </c:spPr>
        <c:marker>
          <c:symbol val="none"/>
        </c:marker>
      </c:pivotFmt>
      <c:pivotFmt>
        <c:idx val="4"/>
        <c:spPr>
          <a:noFill/>
          <a:ln w="25400" cap="flat" cmpd="sng" algn="ctr">
            <a:solidFill>
              <a:schemeClr val="accent2"/>
            </a:solidFill>
            <a:miter lim="800000"/>
          </a:ln>
          <a:effectLst/>
        </c:spPr>
        <c:marker>
          <c:symbol val="none"/>
        </c:marker>
      </c:pivotFmt>
      <c:pivotFmt>
        <c:idx val="5"/>
        <c:spPr>
          <a:noFill/>
          <a:ln w="25400" cap="flat" cmpd="sng" algn="ctr">
            <a:solidFill>
              <a:schemeClr val="accent2"/>
            </a:solidFill>
            <a:miter lim="800000"/>
          </a:ln>
          <a:effectLst/>
        </c:spPr>
        <c:marker>
          <c:symbol val="none"/>
        </c:marker>
      </c:pivotFmt>
      <c:pivotFmt>
        <c:idx val="6"/>
        <c:spPr>
          <a:noFill/>
          <a:ln w="25400" cap="flat" cmpd="sng" algn="ctr">
            <a:solidFill>
              <a:schemeClr val="accent2"/>
            </a:solidFill>
            <a:miter lim="800000"/>
          </a:ln>
          <a:effectLst/>
        </c:spPr>
        <c:marker>
          <c:symbol val="none"/>
        </c:marker>
      </c:pivotFmt>
      <c:pivotFmt>
        <c:idx val="7"/>
        <c:spPr>
          <a:noFill/>
          <a:ln w="25400" cap="flat" cmpd="sng" algn="ctr">
            <a:solidFill>
              <a:schemeClr val="accent2"/>
            </a:solidFill>
            <a:miter lim="800000"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TablasDinamicas!$C$2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dLbls>
            <c:delete val="1"/>
          </c:dLbls>
          <c:cat>
            <c:multiLvlStrRef>
              <c:f>TablasDinamicas!$B$3:$B$17</c:f>
              <c:multiLvlStrCache>
                <c:ptCount val="13"/>
                <c:lvl>
                  <c:pt idx="0">
                    <c:v>IMPRESORA</c:v>
                  </c:pt>
                  <c:pt idx="1">
                    <c:v>LAPTOP</c:v>
                  </c:pt>
                  <c:pt idx="2">
                    <c:v>MOCHILA</c:v>
                  </c:pt>
                  <c:pt idx="3">
                    <c:v>MONITOR</c:v>
                  </c:pt>
                  <c:pt idx="4">
                    <c:v>MOUSE</c:v>
                  </c:pt>
                  <c:pt idx="5">
                    <c:v>UM</c:v>
                  </c:pt>
                  <c:pt idx="6">
                    <c:v>USB</c:v>
                  </c:pt>
                  <c:pt idx="7">
                    <c:v>IMPRESORA</c:v>
                  </c:pt>
                  <c:pt idx="8">
                    <c:v>LAPTOP</c:v>
                  </c:pt>
                  <c:pt idx="9">
                    <c:v>MOCHILA</c:v>
                  </c:pt>
                  <c:pt idx="10">
                    <c:v>MONITOR</c:v>
                  </c:pt>
                  <c:pt idx="11">
                    <c:v>MOUSE</c:v>
                  </c:pt>
                  <c:pt idx="12">
                    <c:v>USB</c:v>
                  </c:pt>
                </c:lvl>
                <c:lvl>
                  <c:pt idx="0">
                    <c:v>2020</c:v>
                  </c:pt>
                  <c:pt idx="7">
                    <c:v>2021</c:v>
                  </c:pt>
                </c:lvl>
              </c:multiLvlStrCache>
            </c:multiLvlStrRef>
          </c:cat>
          <c:val>
            <c:numRef>
              <c:f>TablasDinamicas!$C$3:$C$17</c:f>
              <c:numCache>
                <c:formatCode>_("$"* #,##0.00_);_("$"* \(#,##0.00\);_("$"* "-"??_);_(@_)</c:formatCode>
                <c:ptCount val="13"/>
                <c:pt idx="0">
                  <c:v>210043</c:v>
                </c:pt>
                <c:pt idx="1">
                  <c:v>2426839.2000000002</c:v>
                </c:pt>
                <c:pt idx="2">
                  <c:v>221441</c:v>
                </c:pt>
                <c:pt idx="3">
                  <c:v>409364.5</c:v>
                </c:pt>
                <c:pt idx="4">
                  <c:v>58261</c:v>
                </c:pt>
                <c:pt idx="5">
                  <c:v>61407.750000000007</c:v>
                </c:pt>
                <c:pt idx="6">
                  <c:v>37023.000000000007</c:v>
                </c:pt>
                <c:pt idx="7">
                  <c:v>245079.55</c:v>
                </c:pt>
                <c:pt idx="8">
                  <c:v>1937143.4</c:v>
                </c:pt>
                <c:pt idx="9">
                  <c:v>38257.100000000006</c:v>
                </c:pt>
                <c:pt idx="10">
                  <c:v>319431</c:v>
                </c:pt>
                <c:pt idx="11">
                  <c:v>168061.05</c:v>
                </c:pt>
                <c:pt idx="12">
                  <c:v>27265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1B-45BA-AE0F-D1AB300F9F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27"/>
        <c:overlap val="-48"/>
        <c:axId val="1887919215"/>
        <c:axId val="1887920047"/>
      </c:barChart>
      <c:catAx>
        <c:axId val="188791921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87920047"/>
        <c:crosses val="autoZero"/>
        <c:auto val="1"/>
        <c:lblAlgn val="ctr"/>
        <c:lblOffset val="100"/>
        <c:noMultiLvlLbl val="0"/>
      </c:catAx>
      <c:valAx>
        <c:axId val="1887920047"/>
        <c:scaling>
          <c:orientation val="minMax"/>
        </c:scaling>
        <c:delete val="0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8791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accent4">
        <a:lumMod val="40000"/>
        <a:lumOff val="6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[Clase11.xlsx]TablasDinamicas!VentasxVendedor</c:name>
    <c:fmtId val="1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TablasDinamicas!$C$24:$C$25</c:f>
              <c:strCache>
                <c:ptCount val="1"/>
                <c:pt idx="0">
                  <c:v>IMPRESORA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cat>
            <c:strRef>
              <c:f>TablasDinamicas!$B$26:$B$31</c:f>
              <c:strCache>
                <c:ptCount val="5"/>
                <c:pt idx="0">
                  <c:v>CARLOS</c:v>
                </c:pt>
                <c:pt idx="1">
                  <c:v>DANIELA</c:v>
                </c:pt>
                <c:pt idx="2">
                  <c:v>JUAN</c:v>
                </c:pt>
                <c:pt idx="3">
                  <c:v>MANUEL</c:v>
                </c:pt>
                <c:pt idx="4">
                  <c:v>MARTA</c:v>
                </c:pt>
              </c:strCache>
            </c:strRef>
          </c:cat>
          <c:val>
            <c:numRef>
              <c:f>TablasDinamicas!$C$26:$C$31</c:f>
              <c:numCache>
                <c:formatCode>_("$"* #,##0.00_);_("$"* \(#,##0.00\);_("$"* "-"??_);_(@_)</c:formatCode>
                <c:ptCount val="5"/>
                <c:pt idx="0">
                  <c:v>5688.75</c:v>
                </c:pt>
                <c:pt idx="1">
                  <c:v>11685</c:v>
                </c:pt>
                <c:pt idx="2">
                  <c:v>196234.2</c:v>
                </c:pt>
                <c:pt idx="3">
                  <c:v>35760.199999999997</c:v>
                </c:pt>
                <c:pt idx="4">
                  <c:v>205754.4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E1-40D9-9583-675BB55BF93E}"/>
            </c:ext>
          </c:extLst>
        </c:ser>
        <c:ser>
          <c:idx val="1"/>
          <c:order val="1"/>
          <c:tx>
            <c:strRef>
              <c:f>TablasDinamicas!$D$24:$D$25</c:f>
              <c:strCache>
                <c:ptCount val="1"/>
                <c:pt idx="0">
                  <c:v>LAPTOP</c:v>
                </c:pt>
              </c:strCache>
            </c:strRef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cat>
            <c:strRef>
              <c:f>TablasDinamicas!$B$26:$B$31</c:f>
              <c:strCache>
                <c:ptCount val="5"/>
                <c:pt idx="0">
                  <c:v>CARLOS</c:v>
                </c:pt>
                <c:pt idx="1">
                  <c:v>DANIELA</c:v>
                </c:pt>
                <c:pt idx="2">
                  <c:v>JUAN</c:v>
                </c:pt>
                <c:pt idx="3">
                  <c:v>MANUEL</c:v>
                </c:pt>
                <c:pt idx="4">
                  <c:v>MARTA</c:v>
                </c:pt>
              </c:strCache>
            </c:strRef>
          </c:cat>
          <c:val>
            <c:numRef>
              <c:f>TablasDinamicas!$D$26:$D$31</c:f>
              <c:numCache>
                <c:formatCode>_("$"* #,##0.00_);_("$"* \(#,##0.00\);_("$"* "-"??_);_(@_)</c:formatCode>
                <c:ptCount val="5"/>
                <c:pt idx="0">
                  <c:v>1370425</c:v>
                </c:pt>
                <c:pt idx="1">
                  <c:v>856559.7</c:v>
                </c:pt>
                <c:pt idx="2">
                  <c:v>397618</c:v>
                </c:pt>
                <c:pt idx="3">
                  <c:v>593302.80000000005</c:v>
                </c:pt>
                <c:pt idx="4">
                  <c:v>1146077.1000000001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53E1-40D9-9583-675BB55BF93E}"/>
            </c:ext>
          </c:extLst>
        </c:ser>
        <c:ser>
          <c:idx val="2"/>
          <c:order val="2"/>
          <c:tx>
            <c:strRef>
              <c:f>TablasDinamicas!$E$24:$E$25</c:f>
              <c:strCache>
                <c:ptCount val="1"/>
                <c:pt idx="0">
                  <c:v>MOCHILA</c:v>
                </c:pt>
              </c:strCache>
            </c:strRef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cat>
            <c:strRef>
              <c:f>TablasDinamicas!$B$26:$B$31</c:f>
              <c:strCache>
                <c:ptCount val="5"/>
                <c:pt idx="0">
                  <c:v>CARLOS</c:v>
                </c:pt>
                <c:pt idx="1">
                  <c:v>DANIELA</c:v>
                </c:pt>
                <c:pt idx="2">
                  <c:v>JUAN</c:v>
                </c:pt>
                <c:pt idx="3">
                  <c:v>MANUEL</c:v>
                </c:pt>
                <c:pt idx="4">
                  <c:v>MARTA</c:v>
                </c:pt>
              </c:strCache>
            </c:strRef>
          </c:cat>
          <c:val>
            <c:numRef>
              <c:f>TablasDinamicas!$E$26:$E$31</c:f>
              <c:numCache>
                <c:formatCode>_("$"* #,##0.00_);_("$"* \(#,##0.00\);_("$"* "-"??_);_(@_)</c:formatCode>
                <c:ptCount val="5"/>
                <c:pt idx="1">
                  <c:v>106056.75</c:v>
                </c:pt>
                <c:pt idx="2">
                  <c:v>11992.5</c:v>
                </c:pt>
                <c:pt idx="3">
                  <c:v>18511.500000000004</c:v>
                </c:pt>
                <c:pt idx="4">
                  <c:v>123137.35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53E1-40D9-9583-675BB55BF93E}"/>
            </c:ext>
          </c:extLst>
        </c:ser>
        <c:ser>
          <c:idx val="3"/>
          <c:order val="3"/>
          <c:tx>
            <c:strRef>
              <c:f>TablasDinamicas!$F$24:$F$25</c:f>
              <c:strCache>
                <c:ptCount val="1"/>
                <c:pt idx="0">
                  <c:v>MONITOR</c:v>
                </c:pt>
              </c:strCache>
            </c:strRef>
          </c:tx>
          <c:spPr>
            <a:noFill/>
            <a:ln w="25400" cap="flat" cmpd="sng" algn="ctr">
              <a:solidFill>
                <a:schemeClr val="accent4"/>
              </a:solidFill>
              <a:miter lim="800000"/>
            </a:ln>
            <a:effectLst/>
          </c:spPr>
          <c:invertIfNegative val="0"/>
          <c:cat>
            <c:strRef>
              <c:f>TablasDinamicas!$B$26:$B$31</c:f>
              <c:strCache>
                <c:ptCount val="5"/>
                <c:pt idx="0">
                  <c:v>CARLOS</c:v>
                </c:pt>
                <c:pt idx="1">
                  <c:v>DANIELA</c:v>
                </c:pt>
                <c:pt idx="2">
                  <c:v>JUAN</c:v>
                </c:pt>
                <c:pt idx="3">
                  <c:v>MANUEL</c:v>
                </c:pt>
                <c:pt idx="4">
                  <c:v>MARTA</c:v>
                </c:pt>
              </c:strCache>
            </c:strRef>
          </c:cat>
          <c:val>
            <c:numRef>
              <c:f>TablasDinamicas!$F$26:$F$31</c:f>
              <c:numCache>
                <c:formatCode>_("$"* #,##0.00_);_("$"* \(#,##0.00\);_("$"* "-"??_);_(@_)</c:formatCode>
                <c:ptCount val="5"/>
                <c:pt idx="0">
                  <c:v>323305.5</c:v>
                </c:pt>
                <c:pt idx="1">
                  <c:v>108486</c:v>
                </c:pt>
                <c:pt idx="2">
                  <c:v>80770</c:v>
                </c:pt>
                <c:pt idx="3">
                  <c:v>151659</c:v>
                </c:pt>
                <c:pt idx="4">
                  <c:v>64575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53E1-40D9-9583-675BB55BF93E}"/>
            </c:ext>
          </c:extLst>
        </c:ser>
        <c:ser>
          <c:idx val="4"/>
          <c:order val="4"/>
          <c:tx>
            <c:strRef>
              <c:f>TablasDinamicas!$G$24:$G$25</c:f>
              <c:strCache>
                <c:ptCount val="1"/>
                <c:pt idx="0">
                  <c:v>MOUSE</c:v>
                </c:pt>
              </c:strCache>
            </c:strRef>
          </c:tx>
          <c:spPr>
            <a:noFill/>
            <a:ln w="25400" cap="flat" cmpd="sng" algn="ctr">
              <a:solidFill>
                <a:schemeClr val="accent5"/>
              </a:solidFill>
              <a:miter lim="800000"/>
            </a:ln>
            <a:effectLst/>
          </c:spPr>
          <c:invertIfNegative val="0"/>
          <c:cat>
            <c:strRef>
              <c:f>TablasDinamicas!$B$26:$B$31</c:f>
              <c:strCache>
                <c:ptCount val="5"/>
                <c:pt idx="0">
                  <c:v>CARLOS</c:v>
                </c:pt>
                <c:pt idx="1">
                  <c:v>DANIELA</c:v>
                </c:pt>
                <c:pt idx="2">
                  <c:v>JUAN</c:v>
                </c:pt>
                <c:pt idx="3">
                  <c:v>MANUEL</c:v>
                </c:pt>
                <c:pt idx="4">
                  <c:v>MARTA</c:v>
                </c:pt>
              </c:strCache>
            </c:strRef>
          </c:cat>
          <c:val>
            <c:numRef>
              <c:f>TablasDinamicas!$G$26:$G$31</c:f>
              <c:numCache>
                <c:formatCode>_("$"* #,##0.00_);_("$"* \(#,##0.00\);_("$"* "-"??_);_(@_)</c:formatCode>
                <c:ptCount val="5"/>
                <c:pt idx="0">
                  <c:v>33620</c:v>
                </c:pt>
                <c:pt idx="1">
                  <c:v>32308</c:v>
                </c:pt>
                <c:pt idx="2">
                  <c:v>82336.2</c:v>
                </c:pt>
                <c:pt idx="3">
                  <c:v>45059</c:v>
                </c:pt>
                <c:pt idx="4">
                  <c:v>32998.85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53E1-40D9-9583-675BB55BF93E}"/>
            </c:ext>
          </c:extLst>
        </c:ser>
        <c:ser>
          <c:idx val="5"/>
          <c:order val="5"/>
          <c:tx>
            <c:strRef>
              <c:f>TablasDinamicas!$H$24:$H$25</c:f>
              <c:strCache>
                <c:ptCount val="1"/>
                <c:pt idx="0">
                  <c:v>UM</c:v>
                </c:pt>
              </c:strCache>
            </c:strRef>
          </c:tx>
          <c:spPr>
            <a:noFill/>
            <a:ln w="25400" cap="flat" cmpd="sng" algn="ctr">
              <a:solidFill>
                <a:schemeClr val="accent6"/>
              </a:solidFill>
              <a:miter lim="800000"/>
            </a:ln>
            <a:effectLst/>
          </c:spPr>
          <c:invertIfNegative val="0"/>
          <c:cat>
            <c:strRef>
              <c:f>TablasDinamicas!$B$26:$B$31</c:f>
              <c:strCache>
                <c:ptCount val="5"/>
                <c:pt idx="0">
                  <c:v>CARLOS</c:v>
                </c:pt>
                <c:pt idx="1">
                  <c:v>DANIELA</c:v>
                </c:pt>
                <c:pt idx="2">
                  <c:v>JUAN</c:v>
                </c:pt>
                <c:pt idx="3">
                  <c:v>MANUEL</c:v>
                </c:pt>
                <c:pt idx="4">
                  <c:v>MARTA</c:v>
                </c:pt>
              </c:strCache>
            </c:strRef>
          </c:cat>
          <c:val>
            <c:numRef>
              <c:f>TablasDinamicas!$H$26:$H$31</c:f>
              <c:numCache>
                <c:formatCode>_("$"* #,##0.00_);_("$"* \(#,##0.00\);_("$"* "-"??_);_(@_)</c:formatCode>
                <c:ptCount val="5"/>
                <c:pt idx="3">
                  <c:v>61407.750000000007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53E1-40D9-9583-675BB55BF93E}"/>
            </c:ext>
          </c:extLst>
        </c:ser>
        <c:ser>
          <c:idx val="6"/>
          <c:order val="6"/>
          <c:tx>
            <c:strRef>
              <c:f>TablasDinamicas!$I$24:$I$25</c:f>
              <c:strCache>
                <c:ptCount val="1"/>
                <c:pt idx="0">
                  <c:v>USB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/>
          </c:spPr>
          <c:invertIfNegative val="0"/>
          <c:cat>
            <c:strRef>
              <c:f>TablasDinamicas!$B$26:$B$31</c:f>
              <c:strCache>
                <c:ptCount val="5"/>
                <c:pt idx="0">
                  <c:v>CARLOS</c:v>
                </c:pt>
                <c:pt idx="1">
                  <c:v>DANIELA</c:v>
                </c:pt>
                <c:pt idx="2">
                  <c:v>JUAN</c:v>
                </c:pt>
                <c:pt idx="3">
                  <c:v>MANUEL</c:v>
                </c:pt>
                <c:pt idx="4">
                  <c:v>MARTA</c:v>
                </c:pt>
              </c:strCache>
            </c:strRef>
          </c:cat>
          <c:val>
            <c:numRef>
              <c:f>TablasDinamicas!$I$26:$I$31</c:f>
              <c:numCache>
                <c:formatCode>_("$"* #,##0.00_);_("$"* \(#,##0.00\);_("$"* "-"??_);_(@_)</c:formatCode>
                <c:ptCount val="5"/>
                <c:pt idx="2">
                  <c:v>27265</c:v>
                </c:pt>
                <c:pt idx="3">
                  <c:v>37023.000000000007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53E1-40D9-9583-675BB55BF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35"/>
        <c:axId val="202220239"/>
        <c:axId val="202221071"/>
      </c:barChart>
      <c:catAx>
        <c:axId val="20222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2221071"/>
        <c:crosses val="autoZero"/>
        <c:auto val="1"/>
        <c:lblAlgn val="ctr"/>
        <c:lblOffset val="100"/>
        <c:noMultiLvlLbl val="0"/>
      </c:catAx>
      <c:valAx>
        <c:axId val="202221071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222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924518810148728"/>
          <c:y val="0.38274205307669873"/>
          <c:w val="0.15945971394962796"/>
          <c:h val="0.491316127150772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accent4">
        <a:lumMod val="40000"/>
        <a:lumOff val="6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171451</xdr:colOff>
      <xdr:row>0</xdr:row>
      <xdr:rowOff>142875</xdr:rowOff>
    </xdr:from>
    <xdr:to>
      <xdr:col>17</xdr:col>
      <xdr:colOff>0</xdr:colOff>
      <xdr:row>6</xdr:row>
      <xdr:rowOff>142874</xdr:rowOff>
    </xdr:to>
    <xdr:sp macro="" textlink="">
      <xdr:nvSpPr>
        <xdr:cNvPr id="2" name="Rectángulo 1"/>
        <xdr:cNvSpPr/>
      </xdr:nvSpPr>
      <xdr:spPr>
        <a:xfrm>
          <a:off x="171451" y="142875"/>
          <a:ext cx="13582649" cy="1142999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0</xdr:col>
      <xdr:colOff>323850</xdr:colOff>
      <xdr:row>1</xdr:row>
      <xdr:rowOff>9525</xdr:rowOff>
    </xdr:from>
    <xdr:to>
      <xdr:col>8</xdr:col>
      <xdr:colOff>704850</xdr:colOff>
      <xdr:row>6</xdr:row>
      <xdr:rowOff>104774</xdr:rowOff>
    </xdr:to>
    <xdr:sp macro="" textlink="">
      <xdr:nvSpPr>
        <xdr:cNvPr id="3" name="CuadroTexto 2"/>
        <xdr:cNvSpPr txBox="1"/>
      </xdr:nvSpPr>
      <xdr:spPr>
        <a:xfrm>
          <a:off x="323850" y="200025"/>
          <a:ext cx="6477000" cy="1047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2800" b="1">
              <a:solidFill>
                <a:schemeClr val="tx1">
                  <a:lumMod val="95000"/>
                  <a:lumOff val="5000"/>
                </a:schemeClr>
              </a:solidFill>
            </a:rPr>
            <a:t>INFORME</a:t>
          </a:r>
          <a:r>
            <a:rPr lang="es-MX" sz="2800" b="1" baseline="0">
              <a:solidFill>
                <a:schemeClr val="tx1">
                  <a:lumMod val="95000"/>
                  <a:lumOff val="5000"/>
                </a:schemeClr>
              </a:solidFill>
            </a:rPr>
            <a:t> DE VENTAS DE LA EMPRESA</a:t>
          </a:r>
        </a:p>
        <a:p>
          <a:r>
            <a:rPr lang="es-MX" sz="2800" b="1" baseline="0">
              <a:solidFill>
                <a:schemeClr val="accent4"/>
              </a:solidFill>
            </a:rPr>
            <a:t>SISTEMAS Y COMPUTACIÓN</a:t>
          </a:r>
          <a:endParaRPr lang="es-MX" sz="2800" b="1">
            <a:solidFill>
              <a:schemeClr val="accent4"/>
            </a:solidFill>
          </a:endParaRPr>
        </a:p>
      </xdr:txBody>
    </xdr:sp>
    <xdr:clientData/>
  </xdr:twoCellAnchor>
  <xdr:twoCellAnchor>
    <xdr:from>
      <xdr:col>0</xdr:col>
      <xdr:colOff>161926</xdr:colOff>
      <xdr:row>6</xdr:row>
      <xdr:rowOff>219073</xdr:rowOff>
    </xdr:from>
    <xdr:to>
      <xdr:col>8</xdr:col>
      <xdr:colOff>752476</xdr:colOff>
      <xdr:row>28</xdr:row>
      <xdr:rowOff>47624</xdr:rowOff>
    </xdr:to>
    <xdr:graphicFrame macro="">
      <xdr:nvGraphicFramePr>
        <xdr:cNvPr id="4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47624</xdr:colOff>
      <xdr:row>6</xdr:row>
      <xdr:rowOff>219076</xdr:rowOff>
    </xdr:from>
    <xdr:to>
      <xdr:col>13</xdr:col>
      <xdr:colOff>552450</xdr:colOff>
      <xdr:row>13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Marc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c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34474" y="1362076"/>
              <a:ext cx="2390776" cy="11620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552450</xdr:colOff>
      <xdr:row>6</xdr:row>
      <xdr:rowOff>219075</xdr:rowOff>
    </xdr:from>
    <xdr:to>
      <xdr:col>17</xdr:col>
      <xdr:colOff>0</xdr:colOff>
      <xdr:row>13</xdr:row>
      <xdr:rowOff>9524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Año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25250" y="1362075"/>
              <a:ext cx="2495550" cy="11620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11</xdr:col>
      <xdr:colOff>38099</xdr:colOff>
      <xdr:row>13</xdr:row>
      <xdr:rowOff>9525</xdr:rowOff>
    </xdr:from>
    <xdr:to>
      <xdr:col>17</xdr:col>
      <xdr:colOff>0</xdr:colOff>
      <xdr:row>31</xdr:row>
      <xdr:rowOff>9525</xdr:rowOff>
    </xdr:to>
    <xdr:graphicFrame macro="">
      <xdr:nvGraphicFramePr>
        <xdr:cNvPr id="7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47624</xdr:colOff>
      <xdr:row>31</xdr:row>
      <xdr:rowOff>9525</xdr:rowOff>
    </xdr:from>
    <xdr:to>
      <xdr:col>17</xdr:col>
      <xdr:colOff>0</xdr:colOff>
      <xdr:row>35</xdr:row>
      <xdr:rowOff>161924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VENDEDO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34474" y="5953125"/>
              <a:ext cx="4886326" cy="9143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781050</xdr:colOff>
      <xdr:row>31</xdr:row>
      <xdr:rowOff>28575</xdr:rowOff>
    </xdr:from>
    <xdr:to>
      <xdr:col>11</xdr:col>
      <xdr:colOff>19050</xdr:colOff>
      <xdr:row>35</xdr:row>
      <xdr:rowOff>161926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Producto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77050" y="5972175"/>
              <a:ext cx="2228850" cy="8953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10</xdr:col>
      <xdr:colOff>847725</xdr:colOff>
      <xdr:row>0</xdr:row>
      <xdr:rowOff>47625</xdr:rowOff>
    </xdr:from>
    <xdr:to>
      <xdr:col>13</xdr:col>
      <xdr:colOff>352425</xdr:colOff>
      <xdr:row>5</xdr:row>
      <xdr:rowOff>180975</xdr:rowOff>
    </xdr:to>
    <xdr:sp macro="" textlink="">
      <xdr:nvSpPr>
        <xdr:cNvPr id="11" name="Rectángulo 10"/>
        <xdr:cNvSpPr/>
      </xdr:nvSpPr>
      <xdr:spPr>
        <a:xfrm>
          <a:off x="8810625" y="47625"/>
          <a:ext cx="2514600" cy="1085850"/>
        </a:xfrm>
        <a:prstGeom prst="rect">
          <a:avLst/>
        </a:prstGeom>
        <a:solidFill>
          <a:srgbClr val="000F2E"/>
        </a:solidFill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13</xdr:col>
      <xdr:colOff>400050</xdr:colOff>
      <xdr:row>0</xdr:row>
      <xdr:rowOff>47625</xdr:rowOff>
    </xdr:from>
    <xdr:to>
      <xdr:col>16</xdr:col>
      <xdr:colOff>628650</xdr:colOff>
      <xdr:row>5</xdr:row>
      <xdr:rowOff>180975</xdr:rowOff>
    </xdr:to>
    <xdr:sp macro="" textlink="">
      <xdr:nvSpPr>
        <xdr:cNvPr id="12" name="Rectángulo 11"/>
        <xdr:cNvSpPr/>
      </xdr:nvSpPr>
      <xdr:spPr>
        <a:xfrm>
          <a:off x="11372850" y="47625"/>
          <a:ext cx="2514600" cy="1085850"/>
        </a:xfrm>
        <a:prstGeom prst="rect">
          <a:avLst/>
        </a:prstGeom>
        <a:solidFill>
          <a:srgbClr val="000F2E"/>
        </a:solidFill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10</xdr:col>
      <xdr:colOff>857249</xdr:colOff>
      <xdr:row>0</xdr:row>
      <xdr:rowOff>123825</xdr:rowOff>
    </xdr:from>
    <xdr:ext cx="1819275" cy="981075"/>
    <xdr:sp macro="" textlink="">
      <xdr:nvSpPr>
        <xdr:cNvPr id="13" name="CuadroTexto 12"/>
        <xdr:cNvSpPr txBox="1"/>
      </xdr:nvSpPr>
      <xdr:spPr>
        <a:xfrm>
          <a:off x="8820149" y="123825"/>
          <a:ext cx="1819275" cy="981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s-MX" sz="20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Porcentaje de Ventas 2020</a:t>
          </a:r>
          <a:endParaRPr lang="es-MX" sz="20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13</xdr:col>
      <xdr:colOff>409574</xdr:colOff>
      <xdr:row>0</xdr:row>
      <xdr:rowOff>123825</xdr:rowOff>
    </xdr:from>
    <xdr:ext cx="1819275" cy="981075"/>
    <xdr:sp macro="" textlink="">
      <xdr:nvSpPr>
        <xdr:cNvPr id="14" name="CuadroTexto 13"/>
        <xdr:cNvSpPr txBox="1"/>
      </xdr:nvSpPr>
      <xdr:spPr>
        <a:xfrm>
          <a:off x="11382374" y="123825"/>
          <a:ext cx="1819275" cy="981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s-MX" sz="20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Porcentaje de Ventas 2021</a:t>
          </a:r>
          <a:endParaRPr lang="es-MX" sz="20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12</xdr:col>
      <xdr:colOff>104775</xdr:colOff>
      <xdr:row>1</xdr:row>
      <xdr:rowOff>123825</xdr:rowOff>
    </xdr:from>
    <xdr:ext cx="1005981" cy="564193"/>
    <xdr:sp macro="" textlink="TablasDinamicas!B38">
      <xdr:nvSpPr>
        <xdr:cNvPr id="15" name="CuadroTexto 14"/>
        <xdr:cNvSpPr txBox="1"/>
      </xdr:nvSpPr>
      <xdr:spPr>
        <a:xfrm>
          <a:off x="10315575" y="314325"/>
          <a:ext cx="1005981" cy="5641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170EA031-128F-4D65-AE5D-2A161C3E3256}" type="TxLink">
            <a:rPr lang="en-US" sz="3200" b="1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56%</a:t>
          </a:fld>
          <a:endParaRPr lang="es-MX" sz="32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15</xdr:col>
      <xdr:colOff>381000</xdr:colOff>
      <xdr:row>1</xdr:row>
      <xdr:rowOff>142875</xdr:rowOff>
    </xdr:from>
    <xdr:ext cx="1005981" cy="564193"/>
    <xdr:sp macro="" textlink="TablasDinamicas!C38">
      <xdr:nvSpPr>
        <xdr:cNvPr id="16" name="CuadroTexto 15"/>
        <xdr:cNvSpPr txBox="1"/>
      </xdr:nvSpPr>
      <xdr:spPr>
        <a:xfrm>
          <a:off x="12877800" y="333375"/>
          <a:ext cx="1005981" cy="5641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/>
          <a:fld id="{BD8D5B65-1714-4C7C-8285-68DC3496D005}" type="TxLink">
            <a:rPr lang="en-US" sz="3200" b="1" i="0" u="none" strike="noStrike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/>
            <a:t>44%</a:t>
          </a:fld>
          <a:endParaRPr lang="es-MX" sz="3200" b="1" i="0" u="none" strike="noStrike">
            <a:solidFill>
              <a:schemeClr val="bg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oneCellAnchor>
  <xdr:twoCellAnchor editAs="oneCell">
    <xdr:from>
      <xdr:col>0</xdr:col>
      <xdr:colOff>161925</xdr:colOff>
      <xdr:row>28</xdr:row>
      <xdr:rowOff>19051</xdr:rowOff>
    </xdr:from>
    <xdr:to>
      <xdr:col>8</xdr:col>
      <xdr:colOff>752475</xdr:colOff>
      <xdr:row>35</xdr:row>
      <xdr:rowOff>171451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8" name="Product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925" y="5391151"/>
              <a:ext cx="6686550" cy="148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USTAMANTE" refreshedDate="44489.738410532409" createdVersion="6" refreshedVersion="6" minRefreshableVersion="3" recordCount="111">
  <cacheSource type="worksheet">
    <worksheetSource name="Ventas"/>
  </cacheSource>
  <cacheFields count="11">
    <cacheField name="FECHA" numFmtId="164">
      <sharedItems containsSemiMixedTypes="0" containsNonDate="0" containsDate="1" containsString="0" minDate="2020-09-27T00:00:00" maxDate="2021-04-21T00:00:00" count="80">
        <d v="2021-03-12T00:00:00"/>
        <d v="2020-10-10T00:00:00"/>
        <d v="2020-11-14T00:00:00"/>
        <d v="2020-12-12T00:00:00"/>
        <d v="2021-03-18T00:00:00"/>
        <d v="2020-12-27T00:00:00"/>
        <d v="2021-02-26T00:00:00"/>
        <d v="2020-10-11T00:00:00"/>
        <d v="2020-11-03T00:00:00"/>
        <d v="2020-10-14T00:00:00"/>
        <d v="2020-11-09T00:00:00"/>
        <d v="2020-12-28T00:00:00"/>
        <d v="2021-01-09T00:00:00"/>
        <d v="2021-02-19T00:00:00"/>
        <d v="2021-04-11T00:00:00"/>
        <d v="2021-02-15T00:00:00"/>
        <d v="2021-04-12T00:00:00"/>
        <d v="2020-10-30T00:00:00"/>
        <d v="2020-11-07T00:00:00"/>
        <d v="2021-03-16T00:00:00"/>
        <d v="2020-11-13T00:00:00"/>
        <d v="2020-11-08T00:00:00"/>
        <d v="2021-01-12T00:00:00"/>
        <d v="2020-11-18T00:00:00"/>
        <d v="2021-01-15T00:00:00"/>
        <d v="2020-12-31T00:00:00"/>
        <d v="2021-02-27T00:00:00"/>
        <d v="2021-02-17T00:00:00"/>
        <d v="2021-01-16T00:00:00"/>
        <d v="2020-10-17T00:00:00"/>
        <d v="2020-10-26T00:00:00"/>
        <d v="2021-03-22T00:00:00"/>
        <d v="2020-09-27T00:00:00"/>
        <d v="2020-11-16T00:00:00"/>
        <d v="2021-04-05T00:00:00"/>
        <d v="2020-10-27T00:00:00"/>
        <d v="2020-10-08T00:00:00"/>
        <d v="2020-12-18T00:00:00"/>
        <d v="2021-02-03T00:00:00"/>
        <d v="2021-03-30T00:00:00"/>
        <d v="2021-01-07T00:00:00"/>
        <d v="2021-01-26T00:00:00"/>
        <d v="2021-02-11T00:00:00"/>
        <d v="2020-11-26T00:00:00"/>
        <d v="2020-10-05T00:00:00"/>
        <d v="2020-11-25T00:00:00"/>
        <d v="2020-11-02T00:00:00"/>
        <d v="2021-03-19T00:00:00"/>
        <d v="2020-10-13T00:00:00"/>
        <d v="2020-12-10T00:00:00"/>
        <d v="2020-11-01T00:00:00"/>
        <d v="2021-01-18T00:00:00"/>
        <d v="2020-11-21T00:00:00"/>
        <d v="2021-01-05T00:00:00"/>
        <d v="2021-03-05T00:00:00"/>
        <d v="2020-11-17T00:00:00"/>
        <d v="2021-04-07T00:00:00"/>
        <d v="2021-04-01T00:00:00"/>
        <d v="2021-01-23T00:00:00"/>
        <d v="2021-01-06T00:00:00"/>
        <d v="2020-10-21T00:00:00"/>
        <d v="2021-01-13T00:00:00"/>
        <d v="2020-12-19T00:00:00"/>
        <d v="2020-10-19T00:00:00"/>
        <d v="2021-03-10T00:00:00"/>
        <d v="2021-03-02T00:00:00"/>
        <d v="2021-01-14T00:00:00"/>
        <d v="2021-02-05T00:00:00"/>
        <d v="2021-04-13T00:00:00"/>
        <d v="2020-11-28T00:00:00"/>
        <d v="2021-01-02T00:00:00"/>
        <d v="2021-03-14T00:00:00"/>
        <d v="2021-03-24T00:00:00"/>
        <d v="2021-01-10T00:00:00"/>
        <d v="2021-02-04T00:00:00"/>
        <d v="2020-10-28T00:00:00"/>
        <d v="2021-03-21T00:00:00"/>
        <d v="2021-01-03T00:00:00"/>
        <d v="2021-04-20T00:00:00"/>
        <d v="2020-12-21T00:00:00"/>
      </sharedItems>
      <fieldGroup par="10" base="0">
        <rangePr groupBy="months" startDate="2020-09-27T00:00:00" endDate="2021-04-21T00:00:00"/>
        <groupItems count="14">
          <s v="&lt;27/09/2020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1/04/2021"/>
        </groupItems>
      </fieldGroup>
    </cacheField>
    <cacheField name="VENDEDOR" numFmtId="0">
      <sharedItems count="5">
        <s v="JUAN"/>
        <s v="MANUEL"/>
        <s v="DANIELA"/>
        <s v="MARTA"/>
        <s v="CARLOS"/>
      </sharedItems>
    </cacheField>
    <cacheField name="DESCRIPCIÓN" numFmtId="0">
      <sharedItems/>
    </cacheField>
    <cacheField name="Precio Dolares" numFmtId="165">
      <sharedItems containsSemiMixedTypes="0" containsString="0" containsNumber="1" minValue="25" maxValue="1050"/>
    </cacheField>
    <cacheField name="Precio Pesos" numFmtId="165">
      <sharedItems containsSemiMixedTypes="0" containsString="0" containsNumber="1" minValue="512.5" maxValue="21525"/>
    </cacheField>
    <cacheField name="Marca" numFmtId="0">
      <sharedItems count="6">
        <s v="HP"/>
        <s v="ACER"/>
        <s v="EPSON"/>
        <s v="LOGITECH"/>
        <s v="LENOVO"/>
        <s v="DELL"/>
      </sharedItems>
    </cacheField>
    <cacheField name="Producto" numFmtId="0">
      <sharedItems count="7">
        <s v="MOUSE"/>
        <s v="MONITOR"/>
        <s v="LAPTOP"/>
        <s v="IMPRESORA"/>
        <s v="USB"/>
        <s v="MOCHILA"/>
        <s v="UM"/>
      </sharedItems>
    </cacheField>
    <cacheField name="Cantidad" numFmtId="0">
      <sharedItems containsSemiMixedTypes="0" containsString="0" containsNumber="1" containsInteger="1" minValue="1" maxValue="20"/>
    </cacheField>
    <cacheField name="Venta Realizada" numFmtId="165">
      <sharedItems containsSemiMixedTypes="0" containsString="0" containsNumber="1" minValue="1209.5" maxValue="361620"/>
    </cacheField>
    <cacheField name="Trimestres" numFmtId="0" databaseField="0">
      <fieldGroup base="0">
        <rangePr groupBy="quarters" startDate="2020-09-27T00:00:00" endDate="2021-04-21T00:00:00"/>
        <groupItems count="6">
          <s v="&lt;27/09/2020"/>
          <s v="Trim.1"/>
          <s v="Trim.2"/>
          <s v="Trim.3"/>
          <s v="Trim.4"/>
          <s v="&gt;21/04/2021"/>
        </groupItems>
      </fieldGroup>
    </cacheField>
    <cacheField name="Años" numFmtId="0" databaseField="0">
      <fieldGroup base="0">
        <rangePr groupBy="years" startDate="2020-09-27T00:00:00" endDate="2021-04-21T00:00:00"/>
        <groupItems count="4">
          <s v="&lt;27/09/2020"/>
          <s v="2020"/>
          <s v="2021"/>
          <s v="&gt;21/04/2021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1">
  <r>
    <x v="0"/>
    <x v="0"/>
    <s v="3412- HP MOUSE INALAMBRICO GHz"/>
    <n v="55"/>
    <n v="1127.5"/>
    <x v="0"/>
    <x v="0"/>
    <n v="10"/>
    <n v="11275"/>
  </r>
  <r>
    <x v="1"/>
    <x v="1"/>
    <s v="1149- ACER MONITOR LED Y200"/>
    <n v="84"/>
    <n v="1722"/>
    <x v="1"/>
    <x v="1"/>
    <n v="11"/>
    <n v="18942"/>
  </r>
  <r>
    <x v="2"/>
    <x v="2"/>
    <s v="7622- HP LAPTOP X200 GRIS"/>
    <n v="100.2"/>
    <n v="2054.1"/>
    <x v="0"/>
    <x v="2"/>
    <n v="9"/>
    <n v="18486.899999999998"/>
  </r>
  <r>
    <x v="3"/>
    <x v="1"/>
    <s v="6387- EPSON IMPRESORA L1110 INKJET"/>
    <n v="30"/>
    <n v="615"/>
    <x v="2"/>
    <x v="3"/>
    <n v="12"/>
    <n v="7380"/>
  </r>
  <r>
    <x v="4"/>
    <x v="3"/>
    <s v="9748- HP LAPTOP A96LT LT (I3 I3,4GB GB,1TB"/>
    <n v="770"/>
    <n v="15785"/>
    <x v="0"/>
    <x v="2"/>
    <n v="2"/>
    <n v="31570"/>
  </r>
  <r>
    <x v="5"/>
    <x v="1"/>
    <s v="6346- LOGITECH MOUSE M170 INALAMBRICO USB"/>
    <n v="25"/>
    <n v="512.5"/>
    <x v="3"/>
    <x v="0"/>
    <n v="12"/>
    <n v="6150"/>
  </r>
  <r>
    <x v="6"/>
    <x v="0"/>
    <s v="3499- LENOVO LAPTOP IP IGL05"/>
    <n v="45"/>
    <n v="922.5"/>
    <x v="4"/>
    <x v="2"/>
    <n v="9"/>
    <n v="8302.5"/>
  </r>
  <r>
    <x v="2"/>
    <x v="1"/>
    <s v="6602- LENOVO USB TB NEGRO"/>
    <n v="120.4"/>
    <n v="2468.2000000000003"/>
    <x v="4"/>
    <x v="4"/>
    <n v="15"/>
    <n v="37023.000000000007"/>
  </r>
  <r>
    <x v="7"/>
    <x v="4"/>
    <s v="9748- HP LAPTOP A96LT LT (I3 I3,4GB GB,1TB"/>
    <n v="770"/>
    <n v="15785"/>
    <x v="0"/>
    <x v="2"/>
    <n v="10"/>
    <n v="157850"/>
  </r>
  <r>
    <x v="8"/>
    <x v="2"/>
    <s v="1769- DELL MOCHILA PARA LAPTOP ES BP 15 20"/>
    <n v="65"/>
    <n v="1332.5"/>
    <x v="5"/>
    <x v="5"/>
    <n v="2"/>
    <n v="2665"/>
  </r>
  <r>
    <x v="9"/>
    <x v="3"/>
    <s v="7777- HP IMPRESORA MULTIFUNCION 2375"/>
    <n v="45.2"/>
    <n v="926.6"/>
    <x v="0"/>
    <x v="3"/>
    <n v="10"/>
    <n v="9266"/>
  </r>
  <r>
    <x v="10"/>
    <x v="0"/>
    <s v="3544- DELL LAPTOP K2DJ7 DJ7 (I7 I7,8GB GB,256GB GB SSD"/>
    <n v="650"/>
    <n v="13325"/>
    <x v="5"/>
    <x v="2"/>
    <n v="18"/>
    <n v="239850"/>
  </r>
  <r>
    <x v="11"/>
    <x v="0"/>
    <s v="7913- LOGITECH MOUSE M280 NEG GRIS"/>
    <n v="29.5"/>
    <n v="604.75"/>
    <x v="3"/>
    <x v="0"/>
    <n v="2"/>
    <n v="1209.5"/>
  </r>
  <r>
    <x v="12"/>
    <x v="2"/>
    <s v="3499- LENOVO LAPTOP IP IGL05"/>
    <n v="45"/>
    <n v="922.5"/>
    <x v="4"/>
    <x v="2"/>
    <n v="15"/>
    <n v="13837.5"/>
  </r>
  <r>
    <x v="13"/>
    <x v="0"/>
    <s v="2796- LENOVO USB 3 0 32GBZ"/>
    <n v="95"/>
    <n v="1947.5"/>
    <x v="4"/>
    <x v="4"/>
    <n v="14"/>
    <n v="27265"/>
  </r>
  <r>
    <x v="14"/>
    <x v="1"/>
    <s v="3412- HP MOUSE INALAMBRICO GHz"/>
    <n v="55"/>
    <n v="1127.5"/>
    <x v="0"/>
    <x v="0"/>
    <n v="14"/>
    <n v="15785"/>
  </r>
  <r>
    <x v="15"/>
    <x v="0"/>
    <s v="3058- LENOVO MOUSE M200 AZUL"/>
    <n v="84.2"/>
    <n v="1726.1000000000001"/>
    <x v="4"/>
    <x v="0"/>
    <n v="6"/>
    <n v="10356.6"/>
  </r>
  <r>
    <x v="16"/>
    <x v="3"/>
    <s v="3058- LENOVO MOUSE M200 AZUL"/>
    <n v="84.2"/>
    <n v="1726.1000000000001"/>
    <x v="4"/>
    <x v="0"/>
    <n v="6"/>
    <n v="10356.6"/>
  </r>
  <r>
    <x v="17"/>
    <x v="4"/>
    <s v="7913- LOGITECH MOUSE M280 NEG GRIS"/>
    <n v="29.5"/>
    <n v="604.75"/>
    <x v="3"/>
    <x v="0"/>
    <n v="12"/>
    <n v="7257"/>
  </r>
  <r>
    <x v="18"/>
    <x v="1"/>
    <s v="7913- LOGITECH MOUSE M280 NEG GRIS"/>
    <n v="29.5"/>
    <n v="604.75"/>
    <x v="3"/>
    <x v="0"/>
    <n v="17"/>
    <n v="10280.75"/>
  </r>
  <r>
    <x v="19"/>
    <x v="1"/>
    <s v="6387- EPSON IMPRESORA L1110 INKJET"/>
    <n v="30"/>
    <n v="615"/>
    <x v="2"/>
    <x v="3"/>
    <n v="2"/>
    <n v="1230"/>
  </r>
  <r>
    <x v="20"/>
    <x v="4"/>
    <s v="4023- HP LAPTOP PAVILION 15 LA CORE I5 15 PULG"/>
    <n v="850"/>
    <n v="17425"/>
    <x v="0"/>
    <x v="2"/>
    <n v="16"/>
    <n v="278800"/>
  </r>
  <r>
    <x v="21"/>
    <x v="1"/>
    <s v="7913- LOGITECH MOUSE M280 NEG GRIS"/>
    <n v="29.5"/>
    <n v="604.75"/>
    <x v="3"/>
    <x v="0"/>
    <n v="17"/>
    <n v="10280.75"/>
  </r>
  <r>
    <x v="22"/>
    <x v="2"/>
    <s v="3020- ACER MONITOR S2719 27 PULGADAS 1920X1080"/>
    <n v="150"/>
    <n v="3075"/>
    <x v="1"/>
    <x v="1"/>
    <n v="1"/>
    <n v="3075"/>
  </r>
  <r>
    <x v="23"/>
    <x v="4"/>
    <s v="3020- ACER MONITOR S2719 27 PULGADAS 1920X1080"/>
    <n v="150"/>
    <n v="3075"/>
    <x v="1"/>
    <x v="1"/>
    <n v="12"/>
    <n v="36900"/>
  </r>
  <r>
    <x v="24"/>
    <x v="0"/>
    <s v="3930- LENOVO MOUSE MINI RETRACTIL"/>
    <n v="80.400000000000006"/>
    <n v="1648.2"/>
    <x v="4"/>
    <x v="0"/>
    <n v="18"/>
    <n v="29667.600000000002"/>
  </r>
  <r>
    <x v="25"/>
    <x v="4"/>
    <s v="9748- HP LAPTOP A96LT LT (I3 I3,4GB GB,1TB"/>
    <n v="770"/>
    <n v="15785"/>
    <x v="0"/>
    <x v="2"/>
    <n v="14"/>
    <n v="220990"/>
  </r>
  <r>
    <x v="26"/>
    <x v="1"/>
    <s v="6387- EPSON IMPRESORA L1110 INKJET"/>
    <n v="30"/>
    <n v="615"/>
    <x v="2"/>
    <x v="3"/>
    <n v="9"/>
    <n v="5535"/>
  </r>
  <r>
    <x v="27"/>
    <x v="3"/>
    <s v="3499- LENOVO LAPTOP IP IGL05"/>
    <n v="45"/>
    <n v="922.5"/>
    <x v="4"/>
    <x v="2"/>
    <n v="10"/>
    <n v="9225"/>
  </r>
  <r>
    <x v="28"/>
    <x v="0"/>
    <s v="1149- ACER MONITOR LED Y200"/>
    <n v="84"/>
    <n v="1722"/>
    <x v="1"/>
    <x v="1"/>
    <n v="14"/>
    <n v="24108"/>
  </r>
  <r>
    <x v="29"/>
    <x v="0"/>
    <s v="3214- ACER MONITOR LED NEGRO"/>
    <n v="52.3"/>
    <n v="1072.1499999999999"/>
    <x v="1"/>
    <x v="1"/>
    <n v="10"/>
    <n v="10721.499999999998"/>
  </r>
  <r>
    <x v="6"/>
    <x v="4"/>
    <s v="4023- HP LAPTOP PAVILION 15 LA CORE I5 15 PULG"/>
    <n v="850"/>
    <n v="17425"/>
    <x v="0"/>
    <x v="2"/>
    <n v="17"/>
    <n v="296225"/>
  </r>
  <r>
    <x v="30"/>
    <x v="4"/>
    <s v="9748- HP LAPTOP A96LT LT (I3 I3,4GB GB,1TB"/>
    <n v="770"/>
    <n v="15785"/>
    <x v="0"/>
    <x v="2"/>
    <n v="1"/>
    <n v="15785"/>
  </r>
  <r>
    <x v="29"/>
    <x v="3"/>
    <s v="9748- HP LAPTOP A96LT LT (I3 I3,4GB GB,1TB"/>
    <n v="770"/>
    <n v="15785"/>
    <x v="0"/>
    <x v="2"/>
    <n v="18"/>
    <n v="284130"/>
  </r>
  <r>
    <x v="11"/>
    <x v="3"/>
    <s v="4023- HP LAPTOP PAVILION 15 LA CORE I5 15 PULG"/>
    <n v="850"/>
    <n v="17425"/>
    <x v="0"/>
    <x v="2"/>
    <n v="12"/>
    <n v="209100"/>
  </r>
  <r>
    <x v="31"/>
    <x v="2"/>
    <s v="3234- HP MOUSE 3600 BLUETOOTH"/>
    <n v="32"/>
    <n v="656"/>
    <x v="0"/>
    <x v="0"/>
    <n v="19"/>
    <n v="12464"/>
  </r>
  <r>
    <x v="23"/>
    <x v="4"/>
    <s v="1673- HP MOUSE NEGRO CX20"/>
    <n v="60"/>
    <n v="1230"/>
    <x v="0"/>
    <x v="0"/>
    <n v="12"/>
    <n v="14760"/>
  </r>
  <r>
    <x v="32"/>
    <x v="2"/>
    <s v="9928- HP MOCHILA 6 A100 SUPER"/>
    <n v="720.5"/>
    <n v="14770.25"/>
    <x v="0"/>
    <x v="5"/>
    <n v="7"/>
    <n v="103391.75"/>
  </r>
  <r>
    <x v="25"/>
    <x v="0"/>
    <s v="3412- HP MOUSE INALAMBRICO GHz"/>
    <n v="55"/>
    <n v="1127.5"/>
    <x v="0"/>
    <x v="0"/>
    <n v="2"/>
    <n v="2255"/>
  </r>
  <r>
    <x v="33"/>
    <x v="0"/>
    <s v="4023- HP LAPTOP PAVILION 15 LA CORE I5 15 PULG"/>
    <n v="850"/>
    <n v="17425"/>
    <x v="0"/>
    <x v="2"/>
    <n v="1"/>
    <n v="17425"/>
  </r>
  <r>
    <x v="34"/>
    <x v="3"/>
    <s v="7622- HP LAPTOP X200 GRIS"/>
    <n v="100.2"/>
    <n v="2054.1"/>
    <x v="0"/>
    <x v="2"/>
    <n v="6"/>
    <n v="12324.599999999999"/>
  </r>
  <r>
    <x v="35"/>
    <x v="1"/>
    <s v="7777- HP IMPRESORA MULTIFUNCION 2375"/>
    <n v="45.2"/>
    <n v="926.6"/>
    <x v="0"/>
    <x v="3"/>
    <n v="20"/>
    <n v="18532"/>
  </r>
  <r>
    <x v="36"/>
    <x v="3"/>
    <s v="9928- HP MOCHILA 6 A100 SUPER"/>
    <n v="720.5"/>
    <n v="14770.25"/>
    <x v="0"/>
    <x v="5"/>
    <n v="7"/>
    <n v="103391.75"/>
  </r>
  <r>
    <x v="37"/>
    <x v="2"/>
    <s v="1673- HP MOUSE NEGRO CX20"/>
    <n v="60"/>
    <n v="1230"/>
    <x v="0"/>
    <x v="0"/>
    <n v="1"/>
    <n v="1230"/>
  </r>
  <r>
    <x v="38"/>
    <x v="0"/>
    <s v="3412- HP MOUSE INALAMBRICO GHz"/>
    <n v="55"/>
    <n v="1127.5"/>
    <x v="0"/>
    <x v="0"/>
    <n v="16"/>
    <n v="18040"/>
  </r>
  <r>
    <x v="39"/>
    <x v="3"/>
    <s v="7777- HP IMPRESORA MULTIFUNCION 2375"/>
    <n v="45.2"/>
    <n v="926.6"/>
    <x v="0"/>
    <x v="3"/>
    <n v="8"/>
    <n v="7412.8"/>
  </r>
  <r>
    <x v="40"/>
    <x v="0"/>
    <s v="1673- HP MOUSE NEGRO CX20"/>
    <n v="60"/>
    <n v="1230"/>
    <x v="0"/>
    <x v="0"/>
    <n v="4"/>
    <n v="4920"/>
  </r>
  <r>
    <x v="41"/>
    <x v="3"/>
    <s v="3412- HP MOUSE INALAMBRICO GHz"/>
    <n v="55"/>
    <n v="1127.5"/>
    <x v="0"/>
    <x v="0"/>
    <n v="6"/>
    <n v="6765"/>
  </r>
  <r>
    <x v="24"/>
    <x v="1"/>
    <s v="7622- HP LAPTOP X200 GRIS"/>
    <n v="100.2"/>
    <n v="2054.1"/>
    <x v="0"/>
    <x v="2"/>
    <n v="8"/>
    <n v="16432.8"/>
  </r>
  <r>
    <x v="42"/>
    <x v="3"/>
    <s v="7437- HP MOCHILA LAPTOP B200 VERDE"/>
    <n v="60.2"/>
    <n v="1234.1000000000001"/>
    <x v="0"/>
    <x v="5"/>
    <n v="16"/>
    <n v="19745.600000000002"/>
  </r>
  <r>
    <x v="43"/>
    <x v="2"/>
    <s v="7622- HP LAPTOP X200 GRIS"/>
    <n v="100.2"/>
    <n v="2054.1"/>
    <x v="0"/>
    <x v="2"/>
    <n v="18"/>
    <n v="36973.799999999996"/>
  </r>
  <r>
    <x v="44"/>
    <x v="4"/>
    <s v="4023- HP LAPTOP PAVILION 15 LA CORE I5 15 PULG"/>
    <n v="850"/>
    <n v="17425"/>
    <x v="0"/>
    <x v="2"/>
    <n v="5"/>
    <n v="87125"/>
  </r>
  <r>
    <x v="13"/>
    <x v="2"/>
    <s v="3412- HP MOUSE INALAMBRICO GHz"/>
    <n v="55"/>
    <n v="1127.5"/>
    <x v="0"/>
    <x v="0"/>
    <n v="9"/>
    <n v="10147.5"/>
  </r>
  <r>
    <x v="45"/>
    <x v="0"/>
    <s v="1769- DELL MOCHILA PARA LAPTOP ES BP 15 20"/>
    <n v="65"/>
    <n v="1332.5"/>
    <x v="5"/>
    <x v="5"/>
    <n v="8"/>
    <n v="10660"/>
  </r>
  <r>
    <x v="46"/>
    <x v="3"/>
    <s v="5091- DELL MONITOR E2216HV HV (21 5 PULG VGA"/>
    <n v="150"/>
    <n v="3075"/>
    <x v="5"/>
    <x v="1"/>
    <n v="20"/>
    <n v="61500"/>
  </r>
  <r>
    <x v="3"/>
    <x v="4"/>
    <s v="5091- DELL MONITOR E2216HV HV (21 5 PULG VGA"/>
    <n v="150"/>
    <n v="3075"/>
    <x v="5"/>
    <x v="1"/>
    <n v="16"/>
    <n v="49200"/>
  </r>
  <r>
    <x v="47"/>
    <x v="2"/>
    <s v="3544- DELL LAPTOP K2DJ7 DJ7 (I7 I7,8GB GB,256GB GB SSD"/>
    <n v="650"/>
    <n v="13325"/>
    <x v="5"/>
    <x v="2"/>
    <n v="9"/>
    <n v="119925"/>
  </r>
  <r>
    <x v="48"/>
    <x v="3"/>
    <s v="3544- DELL LAPTOP K2DJ7 DJ7 (I7 I7,8GB GB,256GB GB SSD"/>
    <n v="650"/>
    <n v="13325"/>
    <x v="5"/>
    <x v="2"/>
    <n v="10"/>
    <n v="133250"/>
  </r>
  <r>
    <x v="49"/>
    <x v="1"/>
    <s v="7942- DELL LAPTOP A500"/>
    <n v="980"/>
    <n v="20090"/>
    <x v="5"/>
    <x v="2"/>
    <n v="18"/>
    <n v="361620"/>
  </r>
  <r>
    <x v="50"/>
    <x v="4"/>
    <s v="5091- DELL MONITOR E2216HV HV (21 5 PULG VGA"/>
    <n v="150"/>
    <n v="3075"/>
    <x v="5"/>
    <x v="1"/>
    <n v="10"/>
    <n v="30750"/>
  </r>
  <r>
    <x v="51"/>
    <x v="2"/>
    <s v="5091- DELL MONITOR E2216HV HV (21 5 PULG VGA"/>
    <n v="150"/>
    <n v="3075"/>
    <x v="5"/>
    <x v="1"/>
    <n v="2"/>
    <n v="6150"/>
  </r>
  <r>
    <x v="52"/>
    <x v="3"/>
    <s v="7942- DELL LAPTOP A500"/>
    <n v="980"/>
    <n v="20090"/>
    <x v="5"/>
    <x v="2"/>
    <n v="5"/>
    <n v="100450"/>
  </r>
  <r>
    <x v="53"/>
    <x v="3"/>
    <s v="3544- DELL LAPTOP K2DJ7 DJ7 (I7 I7,8GB GB,256GB GB SSD"/>
    <n v="650"/>
    <n v="13325"/>
    <x v="5"/>
    <x v="2"/>
    <n v="10"/>
    <n v="133250"/>
  </r>
  <r>
    <x v="54"/>
    <x v="2"/>
    <s v="3544- DELL LAPTOP K2DJ7 DJ7 (I7 I7,8GB GB,256GB GB SSD"/>
    <n v="650"/>
    <n v="13325"/>
    <x v="5"/>
    <x v="2"/>
    <n v="2"/>
    <n v="26650"/>
  </r>
  <r>
    <x v="38"/>
    <x v="2"/>
    <s v="5091- DELL MONITOR E2216HV HV (21 5 PULG VGA"/>
    <n v="150"/>
    <n v="3075"/>
    <x v="5"/>
    <x v="1"/>
    <n v="19"/>
    <n v="58425"/>
  </r>
  <r>
    <x v="55"/>
    <x v="0"/>
    <s v="1769- DELL MOCHILA PARA LAPTOP ES BP 15 20"/>
    <n v="65"/>
    <n v="1332.5"/>
    <x v="5"/>
    <x v="5"/>
    <n v="1"/>
    <n v="1332.5"/>
  </r>
  <r>
    <x v="56"/>
    <x v="3"/>
    <s v="3544- DELL LAPTOP K2DJ7 DJ7 (I7 I7,8GB GB,256GB GB SSD"/>
    <n v="650"/>
    <n v="13325"/>
    <x v="5"/>
    <x v="2"/>
    <n v="3"/>
    <n v="39975"/>
  </r>
  <r>
    <x v="57"/>
    <x v="4"/>
    <s v="3714- HP IMPRESORA WIFI X200"/>
    <n v="92.5"/>
    <n v="1896.25"/>
    <x v="0"/>
    <x v="3"/>
    <n v="3"/>
    <n v="5688.75"/>
  </r>
  <r>
    <x v="42"/>
    <x v="2"/>
    <s v="1131- HP LAPTOP 13 LA ZW20LA LA-COREI7 COREI7-8550U"/>
    <n v="850"/>
    <n v="17425"/>
    <x v="0"/>
    <x v="2"/>
    <n v="8"/>
    <n v="139400"/>
  </r>
  <r>
    <x v="58"/>
    <x v="1"/>
    <s v="8075- HP LAPTOP CI00 NEGRO Y GRIS"/>
    <n v="1050"/>
    <n v="21525"/>
    <x v="0"/>
    <x v="2"/>
    <n v="10"/>
    <n v="215250"/>
  </r>
  <r>
    <x v="19"/>
    <x v="4"/>
    <s v="3412- HP MOUSE INALAMBRICO GHz"/>
    <n v="55"/>
    <n v="1127.5"/>
    <x v="0"/>
    <x v="0"/>
    <n v="6"/>
    <n v="6765"/>
  </r>
  <r>
    <x v="59"/>
    <x v="2"/>
    <s v="3544- DELL LAPTOP K2DJ7 DJ7 (I7 I7,8GB GB,256GB GB SSD"/>
    <n v="650"/>
    <n v="13325"/>
    <x v="5"/>
    <x v="2"/>
    <n v="9"/>
    <n v="119925"/>
  </r>
  <r>
    <x v="42"/>
    <x v="1"/>
    <s v="7437- HP MOCHILA LAPTOP B200 VERDE"/>
    <n v="60.2"/>
    <n v="1234.1000000000001"/>
    <x v="0"/>
    <x v="5"/>
    <n v="15"/>
    <n v="18511.500000000004"/>
  </r>
  <r>
    <x v="60"/>
    <x v="4"/>
    <s v="5091- DELL MONITOR E2216HV HV (21 5 PULG VGA"/>
    <n v="150"/>
    <n v="3075"/>
    <x v="5"/>
    <x v="1"/>
    <n v="3"/>
    <n v="9225"/>
  </r>
  <r>
    <x v="61"/>
    <x v="3"/>
    <s v="5091- DELL MONITOR E2216HV HV (21 5 PULG VGA"/>
    <n v="150"/>
    <n v="3075"/>
    <x v="5"/>
    <x v="1"/>
    <n v="1"/>
    <n v="3075"/>
  </r>
  <r>
    <x v="62"/>
    <x v="4"/>
    <s v="5091- DELL MONITOR E2216HV HV (21 5 PULG VGA"/>
    <n v="150"/>
    <n v="3075"/>
    <x v="5"/>
    <x v="1"/>
    <n v="16"/>
    <n v="49200"/>
  </r>
  <r>
    <x v="40"/>
    <x v="1"/>
    <s v="6346- LOGITECH MOUSE M170 INALAMBRICO USB"/>
    <n v="25"/>
    <n v="512.5"/>
    <x v="3"/>
    <x v="0"/>
    <n v="5"/>
    <n v="2562.5"/>
  </r>
  <r>
    <x v="63"/>
    <x v="4"/>
    <s v="7913- LOGITECH MOUSE M280 NEG GRIS"/>
    <n v="29.5"/>
    <n v="604.75"/>
    <x v="3"/>
    <x v="0"/>
    <n v="8"/>
    <n v="4838"/>
  </r>
  <r>
    <x v="64"/>
    <x v="0"/>
    <s v="6346- LOGITECH MOUSE M170 INALAMBRICO USB"/>
    <n v="25"/>
    <n v="512.5"/>
    <x v="3"/>
    <x v="0"/>
    <n v="9"/>
    <n v="4612.5"/>
  </r>
  <r>
    <x v="19"/>
    <x v="3"/>
    <s v="7913- LOGITECH MOUSE M280 NEG GRIS"/>
    <n v="29.5"/>
    <n v="604.75"/>
    <x v="3"/>
    <x v="0"/>
    <n v="11"/>
    <n v="6652.25"/>
  </r>
  <r>
    <x v="56"/>
    <x v="3"/>
    <s v="6346- LOGITECH MOUSE M170 INALAMBRICO USB"/>
    <n v="25"/>
    <n v="512.5"/>
    <x v="3"/>
    <x v="0"/>
    <n v="18"/>
    <n v="9225"/>
  </r>
  <r>
    <x v="56"/>
    <x v="2"/>
    <s v="7913- LOGITECH MOUSE M280 NEG GRIS"/>
    <n v="29.5"/>
    <n v="604.75"/>
    <x v="3"/>
    <x v="0"/>
    <n v="14"/>
    <n v="8466.5"/>
  </r>
  <r>
    <x v="65"/>
    <x v="3"/>
    <s v="6144- ACER LAPTOP AMD RYZEN 3550H 12GB RAM GTX 1650"/>
    <n v="855"/>
    <n v="17527.5"/>
    <x v="1"/>
    <x v="2"/>
    <n v="9"/>
    <n v="157747.5"/>
  </r>
  <r>
    <x v="66"/>
    <x v="4"/>
    <s v="5544- ACER MONITOR UM-HX0AA P0 NITRO 27¨"/>
    <n v="249"/>
    <n v="5104.5"/>
    <x v="1"/>
    <x v="1"/>
    <n v="9"/>
    <n v="45940.5"/>
  </r>
  <r>
    <x v="67"/>
    <x v="0"/>
    <s v="5544- ACER MONITOR UM-HX0AA P0 NITRO 27¨"/>
    <n v="249"/>
    <n v="5104.5"/>
    <x v="1"/>
    <x v="1"/>
    <n v="9"/>
    <n v="45940.5"/>
  </r>
  <r>
    <x v="68"/>
    <x v="2"/>
    <s v="6144- ACER LAPTOP AMD RYZEN 3550H 12GB RAM GTX 1650"/>
    <n v="855"/>
    <n v="17527.5"/>
    <x v="1"/>
    <x v="2"/>
    <n v="17"/>
    <n v="297967.5"/>
  </r>
  <r>
    <x v="69"/>
    <x v="4"/>
    <s v="5580- ACER LAPTOP ASPIRE 3 INTEL 500GB NEGRO"/>
    <n v="339"/>
    <n v="6949.5"/>
    <x v="1"/>
    <x v="2"/>
    <n v="16"/>
    <n v="111192"/>
  </r>
  <r>
    <x v="70"/>
    <x v="0"/>
    <s v="5580- ACER LAPTOP ASPIRE 3 INTEL 500GB NEGRO"/>
    <n v="339"/>
    <n v="6949.5"/>
    <x v="1"/>
    <x v="2"/>
    <n v="12"/>
    <n v="83394"/>
  </r>
  <r>
    <x v="71"/>
    <x v="4"/>
    <s v="5580- ACER LAPTOP ASPIRE 3 INTEL 500GB NEGRO"/>
    <n v="339"/>
    <n v="6949.5"/>
    <x v="1"/>
    <x v="2"/>
    <n v="14"/>
    <n v="97293"/>
  </r>
  <r>
    <x v="72"/>
    <x v="1"/>
    <s v="5544- ACER MONITOR UM-HX0AA P0 NITRO 27¨"/>
    <n v="249"/>
    <n v="5104.5"/>
    <x v="1"/>
    <x v="1"/>
    <n v="9"/>
    <n v="45940.5"/>
  </r>
  <r>
    <x v="73"/>
    <x v="3"/>
    <s v="6144- ACER LAPTOP AMD RYZEN 3550H 12GB RAM GTX 1650"/>
    <n v="855"/>
    <n v="17527.5"/>
    <x v="1"/>
    <x v="2"/>
    <n v="2"/>
    <n v="35055"/>
  </r>
  <r>
    <x v="74"/>
    <x v="2"/>
    <s v="5580- ACER LAPTOP ASPIRE 3 INTEL 500GB NEGRO"/>
    <n v="339"/>
    <n v="6949.5"/>
    <x v="1"/>
    <x v="2"/>
    <n v="12"/>
    <n v="83394"/>
  </r>
  <r>
    <x v="36"/>
    <x v="4"/>
    <s v="6144- ACER LAPTOP AMD RYZEN 3550H 12GB RAM GTX 1650"/>
    <n v="855"/>
    <n v="17527.5"/>
    <x v="1"/>
    <x v="2"/>
    <n v="6"/>
    <n v="105165"/>
  </r>
  <r>
    <x v="50"/>
    <x v="0"/>
    <s v="5580- ACER LAPTOP ASPIRE 3 INTEL 500GB NEGRO"/>
    <n v="339"/>
    <n v="6949.5"/>
    <x v="1"/>
    <x v="2"/>
    <n v="7"/>
    <n v="48646.5"/>
  </r>
  <r>
    <x v="60"/>
    <x v="4"/>
    <s v="5544- ACER MONITOR UM-HX0AA P0 NITRO 27¨"/>
    <n v="249"/>
    <n v="5104.5"/>
    <x v="1"/>
    <x v="1"/>
    <n v="20"/>
    <n v="102090"/>
  </r>
  <r>
    <x v="38"/>
    <x v="1"/>
    <s v="5544- ACER MONITOR UM-HX0AA P0 NITRO 27¨"/>
    <n v="249"/>
    <n v="5104.5"/>
    <x v="1"/>
    <x v="1"/>
    <n v="17"/>
    <n v="86776.5"/>
  </r>
  <r>
    <x v="75"/>
    <x v="1"/>
    <s v="5542- ACER UM HV0AA 008 27¨ IPS FHD NEGRO"/>
    <n v="299.55"/>
    <n v="6140.7750000000005"/>
    <x v="1"/>
    <x v="6"/>
    <n v="10"/>
    <n v="61407.750000000007"/>
  </r>
  <r>
    <x v="33"/>
    <x v="2"/>
    <s v="5544- ACER MONITOR UM-HX0AA P0 NITRO 27¨"/>
    <n v="249"/>
    <n v="5104.5"/>
    <x v="1"/>
    <x v="1"/>
    <n v="8"/>
    <n v="40836"/>
  </r>
  <r>
    <x v="76"/>
    <x v="3"/>
    <s v="9297- EPSON IMPRESORA L5190 VERDE"/>
    <n v="75.2"/>
    <n v="1541.6000000000001"/>
    <x v="2"/>
    <x v="3"/>
    <n v="16"/>
    <n v="24665.600000000002"/>
  </r>
  <r>
    <x v="59"/>
    <x v="0"/>
    <s v="9297- EPSON IMPRESORA L5190 VERDE"/>
    <n v="75.2"/>
    <n v="1541.6000000000001"/>
    <x v="2"/>
    <x v="3"/>
    <n v="12"/>
    <n v="18499.2"/>
  </r>
  <r>
    <x v="50"/>
    <x v="3"/>
    <s v="8861- EPSON IMPRESORA MATRIZ LX350"/>
    <n v="170"/>
    <n v="3485"/>
    <x v="2"/>
    <x v="3"/>
    <n v="3"/>
    <n v="10455"/>
  </r>
  <r>
    <x v="77"/>
    <x v="1"/>
    <s v="9297- EPSON IMPRESORA L5190 VERDE"/>
    <n v="75.2"/>
    <n v="1541.6000000000001"/>
    <x v="2"/>
    <x v="3"/>
    <n v="2"/>
    <n v="3083.2000000000003"/>
  </r>
  <r>
    <x v="56"/>
    <x v="0"/>
    <s v="8861- EPSON IMPRESORA MATRIZ LX350"/>
    <n v="170"/>
    <n v="3485"/>
    <x v="2"/>
    <x v="3"/>
    <n v="20"/>
    <n v="69700"/>
  </r>
  <r>
    <x v="12"/>
    <x v="2"/>
    <s v="6387- EPSON IMPRESORA L1110 INKJET"/>
    <n v="30"/>
    <n v="615"/>
    <x v="2"/>
    <x v="3"/>
    <n v="19"/>
    <n v="11685"/>
  </r>
  <r>
    <x v="32"/>
    <x v="3"/>
    <s v="7048- EPSON IMPRESORA M2170 NEGRO"/>
    <n v="190"/>
    <n v="3895"/>
    <x v="2"/>
    <x v="3"/>
    <n v="10"/>
    <n v="38950"/>
  </r>
  <r>
    <x v="50"/>
    <x v="3"/>
    <s v="8861- EPSON IMPRESORA MATRIZ LX350"/>
    <n v="170"/>
    <n v="3485"/>
    <x v="2"/>
    <x v="3"/>
    <n v="14"/>
    <n v="48790"/>
  </r>
  <r>
    <x v="50"/>
    <x v="3"/>
    <s v="8861- EPSON IMPRESORA MATRIZ LX350"/>
    <n v="170"/>
    <n v="3485"/>
    <x v="2"/>
    <x v="3"/>
    <n v="6"/>
    <n v="20910"/>
  </r>
  <r>
    <x v="50"/>
    <x v="3"/>
    <s v="8861- EPSON IMPRESORA MATRIZ LX350"/>
    <n v="170"/>
    <n v="3485"/>
    <x v="2"/>
    <x v="3"/>
    <n v="13"/>
    <n v="45305"/>
  </r>
  <r>
    <x v="56"/>
    <x v="0"/>
    <s v="8861- EPSON IMPRESORA MATRIZ LX350"/>
    <n v="170"/>
    <n v="3485"/>
    <x v="2"/>
    <x v="3"/>
    <n v="15"/>
    <n v="52275"/>
  </r>
  <r>
    <x v="78"/>
    <x v="0"/>
    <s v="8861- EPSON IMPRESORA MATRIZ LX350"/>
    <n v="170"/>
    <n v="3485"/>
    <x v="2"/>
    <x v="3"/>
    <n v="13"/>
    <n v="45305"/>
  </r>
  <r>
    <x v="79"/>
    <x v="0"/>
    <s v="8861- EPSON IMPRESORA MATRIZ LX350"/>
    <n v="170"/>
    <n v="3485"/>
    <x v="2"/>
    <x v="3"/>
    <n v="3"/>
    <n v="104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3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B33:C36" firstHeaderRow="1" firstDataRow="1" firstDataCol="1"/>
  <pivotFields count="11">
    <pivotField numFmtId="164" showAll="0"/>
    <pivotField showAll="0"/>
    <pivotField showAll="0"/>
    <pivotField numFmtId="165" showAll="0"/>
    <pivotField numFmtId="165" showAll="0"/>
    <pivotField showAll="0"/>
    <pivotField showAll="0"/>
    <pivotField showAll="0"/>
    <pivotField dataField="1" numFmtId="165" showAll="0"/>
    <pivotField showAll="0" defaultSubtotal="0"/>
    <pivotField axis="axisRow" showAll="0" defaultSubtotal="0">
      <items count="4">
        <item x="0"/>
        <item x="1"/>
        <item x="2"/>
        <item x="3"/>
      </items>
    </pivotField>
  </pivotFields>
  <rowFields count="1">
    <field x="10"/>
  </rowFields>
  <rowItems count="3">
    <i>
      <x v="1"/>
    </i>
    <i>
      <x v="2"/>
    </i>
    <i t="grand">
      <x/>
    </i>
  </rowItems>
  <colItems count="1">
    <i/>
  </colItems>
  <dataFields count="1">
    <dataField name="Suma de Venta Realizada" fld="8" baseField="10" baseItem="1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VentasxVendedor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">
  <location ref="B24:J31" firstHeaderRow="1" firstDataRow="2" firstDataCol="1"/>
  <pivotFields count="11">
    <pivotField numFmtId="164"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numFmtId="165" showAll="0"/>
    <pivotField numFmtId="165" showAll="0"/>
    <pivotField showAll="0"/>
    <pivotField axis="axisCol" showAll="0">
      <items count="8">
        <item x="3"/>
        <item x="2"/>
        <item x="5"/>
        <item x="1"/>
        <item x="0"/>
        <item x="6"/>
        <item x="4"/>
        <item t="default"/>
      </items>
    </pivotField>
    <pivotField showAll="0"/>
    <pivotField dataField="1" numFmtId="165"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de Venta Realizada" fld="8" baseField="1" baseItem="0" numFmtId="44"/>
  </dataFields>
  <chartFormats count="7">
    <chartFormat chart="1" format="3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3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3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3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3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" format="4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" format="4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VENTASXAÑO" cacheId="3" applyNumberFormats="0" applyBorderFormats="0" applyFontFormats="0" applyPatternFormats="0" applyAlignmentFormats="0" applyWidthHeightFormats="1" dataCaption="Valores" updatedVersion="6" minRefreshableVersion="3" showDrill="0" useAutoFormatting="1" rowGrandTotals="0" colGrandTotals="0" itemPrintTitles="1" createdVersion="6" indent="0" outline="1" outlineData="1" multipleFieldFilters="0" chartFormat="2">
  <location ref="B2:C17" firstHeaderRow="1" firstDataRow="1" firstDataCol="1"/>
  <pivotFields count="11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165" showAll="0"/>
    <pivotField numFmtId="165" showAll="0"/>
    <pivotField showAll="0"/>
    <pivotField axis="axisRow" showAll="0">
      <items count="8">
        <item x="3"/>
        <item x="2"/>
        <item x="5"/>
        <item x="1"/>
        <item x="0"/>
        <item x="6"/>
        <item x="4"/>
        <item t="default"/>
      </items>
    </pivotField>
    <pivotField showAll="0"/>
    <pivotField dataField="1" numFmtId="165"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">
        <item sd="0" x="0"/>
        <item x="1"/>
        <item x="2"/>
        <item sd="0" x="3"/>
      </items>
    </pivotField>
  </pivotFields>
  <rowFields count="2">
    <field x="10"/>
    <field x="6"/>
  </rowFields>
  <rowItems count="15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6"/>
    </i>
  </rowItems>
  <colItems count="1">
    <i/>
  </colItems>
  <dataFields count="1">
    <dataField name="Suma de Venta Realizada" fld="8" baseField="6" baseItem="0" numFmtId="44"/>
  </dataFields>
  <chartFormats count="1">
    <chartFormat chart="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Dinámica1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B19:B22" firstHeaderRow="1" firstDataRow="1" firstDataCol="1"/>
  <pivotFields count="11"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165" showAll="0"/>
    <pivotField numFmtId="165" showAll="0"/>
    <pivotField showAll="0"/>
    <pivotField showAll="0"/>
    <pivotField showAll="0"/>
    <pivotField numFmtId="165" showAl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">
        <item sd="0" x="0"/>
        <item sd="0" x="1"/>
        <item sd="0" x="2"/>
        <item sd="0" x="3"/>
      </items>
    </pivotField>
  </pivotFields>
  <rowFields count="3">
    <field x="10"/>
    <field x="9"/>
    <field x="0"/>
  </rowFields>
  <rowItems count="3"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aDinámica2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Top Productos">
  <location ref="J8:K31" firstHeaderRow="1" firstDataRow="1" firstDataCol="1"/>
  <pivotFields count="11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165" showAll="0"/>
    <pivotField numFmtId="165" showAll="0"/>
    <pivotField axis="axisRow" showAll="0" sortType="ascending">
      <items count="7">
        <item x="1"/>
        <item x="5"/>
        <item x="2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8">
        <item x="3"/>
        <item x="2"/>
        <item x="5"/>
        <item x="1"/>
        <item x="0"/>
        <item x="6"/>
        <item x="4"/>
        <item t="default"/>
      </items>
    </pivotField>
    <pivotField showAll="0"/>
    <pivotField dataField="1" numFmtId="165"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6"/>
    <field x="5"/>
  </rowFields>
  <rowItems count="23">
    <i>
      <x/>
    </i>
    <i r="1">
      <x v="3"/>
    </i>
    <i r="1">
      <x v="2"/>
    </i>
    <i>
      <x v="1"/>
    </i>
    <i r="1">
      <x v="4"/>
    </i>
    <i r="1">
      <x/>
    </i>
    <i r="1">
      <x v="1"/>
    </i>
    <i r="1">
      <x v="3"/>
    </i>
    <i>
      <x v="2"/>
    </i>
    <i r="1">
      <x v="1"/>
    </i>
    <i r="1">
      <x v="3"/>
    </i>
    <i>
      <x v="3"/>
    </i>
    <i r="1">
      <x v="1"/>
    </i>
    <i r="1">
      <x/>
    </i>
    <i>
      <x v="4"/>
    </i>
    <i r="1">
      <x v="4"/>
    </i>
    <i r="1">
      <x v="5"/>
    </i>
    <i r="1">
      <x v="3"/>
    </i>
    <i>
      <x v="5"/>
    </i>
    <i r="1">
      <x/>
    </i>
    <i>
      <x v="6"/>
    </i>
    <i r="1">
      <x v="4"/>
    </i>
    <i t="grand">
      <x/>
    </i>
  </rowItems>
  <colItems count="1">
    <i/>
  </colItems>
  <dataFields count="1">
    <dataField name="Totales en Ventas" fld="8" baseField="5" baseItem="0" numFmtId="44"/>
  </dataFields>
  <pivotTableStyleInfo name="miestilo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Marca" sourceName="Marca">
  <pivotTables>
    <pivotTable tabId="3" name="TablaDinámica2"/>
  </pivotTables>
  <data>
    <tabular pivotCacheId="1">
      <items count="6">
        <i x="1" s="1"/>
        <i x="5" s="1"/>
        <i x="2" s="1"/>
        <i x="0" s="1"/>
        <i x="4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Años" sourceName="Años">
  <pivotTables>
    <pivotTable tabId="3" name="TablaDinámica2"/>
    <pivotTable tabId="2" name="VentasxVendedor"/>
  </pivotTables>
  <data>
    <tabular pivotCacheId="1">
      <items count="4">
        <i x="1" s="1"/>
        <i x="2" s="1"/>
        <i x="0" s="1" nd="1"/>
        <i x="3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VENDEDOR" sourceName="VENDEDOR">
  <pivotTables>
    <pivotTable tabId="2" name="VentasxVendedor"/>
  </pivotTables>
  <data>
    <tabular pivotCacheId="1">
      <items count="5">
        <i x="4" s="1"/>
        <i x="2" s="1"/>
        <i x="0" s="1"/>
        <i x="1" s="1"/>
        <i x="3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Producto1" sourceName="Producto">
  <pivotTables>
    <pivotTable tabId="3" name="TablaDinámica2"/>
    <pivotTable tabId="2" name="VentasxVendedor"/>
  </pivotTables>
  <data>
    <tabular pivotCacheId="1">
      <items count="7">
        <i x="3" s="1"/>
        <i x="2" s="1"/>
        <i x="5" s="1"/>
        <i x="1" s="1"/>
        <i x="0" s="1"/>
        <i x="6" s="1"/>
        <i x="4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Producto" sourceName="Producto">
  <pivotTables>
    <pivotTable tabId="2" name="VENTASXAÑO"/>
  </pivotTables>
  <data>
    <tabular pivotCacheId="1">
      <items count="7">
        <i x="3" s="1"/>
        <i x="2" s="1"/>
        <i x="5" s="1"/>
        <i x="1" s="1"/>
        <i x="0" s="1"/>
        <i x="6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ca" cache="SegmentaciónDeDatos_Marca" caption="Control por Marca" columnCount="2" style="miestilo" rowHeight="241300"/>
  <slicer name="Años" cache="SegmentaciónDeDatos_Años" caption="Años" columnCount="2" style="miestilo" rowHeight="241300"/>
  <slicer name="VENDEDOR" cache="SegmentaciónDeDatos_VENDEDOR" caption="VENDEDOR" columnCount="5" style="miestilo" rowHeight="241300"/>
  <slicer name="Producto 1" cache="SegmentaciónDeDatos_Producto1" caption="Producto" columnCount="2" style="miestilo" rowHeight="241300"/>
  <slicer name="Producto" cache="SegmentaciónDeDatos_Producto" caption="Producto" columnCount="3" style="miestilo" rowHeight="241300"/>
</slicers>
</file>

<file path=xl/tables/table1.xml><?xml version="1.0" encoding="utf-8"?>
<table xmlns="http://schemas.openxmlformats.org/spreadsheetml/2006/main" id="1" name="Ventas" displayName="Ventas" ref="A1:I112" totalsRowShown="0">
  <autoFilter ref="A1:I112"/>
  <tableColumns count="9">
    <tableColumn id="13" name="FECHA" dataDxfId="6"/>
    <tableColumn id="12" name="VENDEDOR" dataDxfId="5"/>
    <tableColumn id="2" name="DESCRIPCIÓN" dataDxfId="4"/>
    <tableColumn id="4" name="Precio Dolares" dataDxfId="3" dataCellStyle="Moneda"/>
    <tableColumn id="1" name="Precio Pesos" dataDxfId="2" dataCellStyle="Moneda">
      <calculatedColumnFormula>Ventas[[#This Row],[Precio Dolares]]*20.5</calculatedColumnFormula>
    </tableColumn>
    <tableColumn id="3" name="Marca"/>
    <tableColumn id="5" name="Producto"/>
    <tableColumn id="6" name="Cantidad" dataDxfId="1"/>
    <tableColumn id="7" name="Venta Realizada" dataDxfId="0">
      <calculatedColumnFormula>Ventas[[#This Row],[Cantidad]]*Ventas[[#This Row],[Precio Pesos]]</calculatedColumnFormula>
    </tableColumn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2"/>
  <sheetViews>
    <sheetView topLeftCell="A25" zoomScale="130" zoomScaleNormal="130" workbookViewId="0">
      <selection activeCell="C11" sqref="C11"/>
    </sheetView>
  </sheetViews>
  <sheetFormatPr baseColWidth="10" defaultRowHeight="15" x14ac:dyDescent="0.25"/>
  <cols>
    <col min="1" max="1" width="9.85546875" bestFit="1" customWidth="1"/>
    <col min="2" max="2" width="13.140625" bestFit="1" customWidth="1"/>
    <col min="3" max="3" width="53.28515625" bestFit="1" customWidth="1"/>
    <col min="4" max="4" width="16" bestFit="1" customWidth="1"/>
    <col min="5" max="5" width="14.42578125" bestFit="1" customWidth="1"/>
    <col min="6" max="6" width="9.5703125" bestFit="1" customWidth="1"/>
    <col min="9" max="9" width="17.42578125" bestFit="1" customWidth="1"/>
  </cols>
  <sheetData>
    <row r="1" spans="1:9" x14ac:dyDescent="0.25">
      <c r="A1" s="10" t="s">
        <v>0</v>
      </c>
      <c r="B1" s="9" t="s">
        <v>1</v>
      </c>
      <c r="C1" s="1" t="s">
        <v>2</v>
      </c>
      <c r="D1" s="2" t="s">
        <v>42</v>
      </c>
      <c r="E1" s="6" t="s">
        <v>43</v>
      </c>
      <c r="F1" s="7" t="s">
        <v>44</v>
      </c>
      <c r="G1" s="8" t="s">
        <v>51</v>
      </c>
      <c r="H1" s="10" t="s">
        <v>59</v>
      </c>
      <c r="I1" s="12" t="s">
        <v>60</v>
      </c>
    </row>
    <row r="2" spans="1:9" x14ac:dyDescent="0.25">
      <c r="A2" s="3">
        <v>44267</v>
      </c>
      <c r="B2" t="s">
        <v>3</v>
      </c>
      <c r="C2" t="s">
        <v>4</v>
      </c>
      <c r="D2" s="5">
        <v>55</v>
      </c>
      <c r="E2" s="5">
        <f>Ventas[[#This Row],[Precio Dolares]]*20.5</f>
        <v>1127.5</v>
      </c>
      <c r="F2" t="s">
        <v>45</v>
      </c>
      <c r="G2" t="s">
        <v>52</v>
      </c>
      <c r="H2">
        <v>10</v>
      </c>
      <c r="I2" s="11">
        <f>Ventas[[#This Row],[Cantidad]]*Ventas[[#This Row],[Precio Pesos]]</f>
        <v>11275</v>
      </c>
    </row>
    <row r="3" spans="1:9" x14ac:dyDescent="0.25">
      <c r="A3" s="3">
        <v>44114</v>
      </c>
      <c r="B3" t="s">
        <v>5</v>
      </c>
      <c r="C3" t="s">
        <v>6</v>
      </c>
      <c r="D3" s="5">
        <v>84</v>
      </c>
      <c r="E3" s="5">
        <f>Ventas[[#This Row],[Precio Dolares]]*20.5</f>
        <v>1722</v>
      </c>
      <c r="F3" t="s">
        <v>46</v>
      </c>
      <c r="G3" t="s">
        <v>53</v>
      </c>
      <c r="H3">
        <v>11</v>
      </c>
      <c r="I3" s="11">
        <f>Ventas[[#This Row],[Cantidad]]*Ventas[[#This Row],[Precio Pesos]]</f>
        <v>18942</v>
      </c>
    </row>
    <row r="4" spans="1:9" x14ac:dyDescent="0.25">
      <c r="A4" s="3">
        <v>44149</v>
      </c>
      <c r="B4" t="s">
        <v>7</v>
      </c>
      <c r="C4" t="s">
        <v>8</v>
      </c>
      <c r="D4" s="5">
        <v>100.2</v>
      </c>
      <c r="E4" s="5">
        <f>Ventas[[#This Row],[Precio Dolares]]*20.5</f>
        <v>2054.1</v>
      </c>
      <c r="F4" t="s">
        <v>45</v>
      </c>
      <c r="G4" t="s">
        <v>54</v>
      </c>
      <c r="H4">
        <v>9</v>
      </c>
      <c r="I4" s="11">
        <f>Ventas[[#This Row],[Cantidad]]*Ventas[[#This Row],[Precio Pesos]]</f>
        <v>18486.899999999998</v>
      </c>
    </row>
    <row r="5" spans="1:9" x14ac:dyDescent="0.25">
      <c r="A5" s="3">
        <v>44177</v>
      </c>
      <c r="B5" t="s">
        <v>5</v>
      </c>
      <c r="C5" t="s">
        <v>9</v>
      </c>
      <c r="D5" s="5">
        <v>30</v>
      </c>
      <c r="E5" s="5">
        <f>Ventas[[#This Row],[Precio Dolares]]*20.5</f>
        <v>615</v>
      </c>
      <c r="F5" t="s">
        <v>47</v>
      </c>
      <c r="G5" t="s">
        <v>55</v>
      </c>
      <c r="H5">
        <v>12</v>
      </c>
      <c r="I5" s="11">
        <f>Ventas[[#This Row],[Cantidad]]*Ventas[[#This Row],[Precio Pesos]]</f>
        <v>7380</v>
      </c>
    </row>
    <row r="6" spans="1:9" x14ac:dyDescent="0.25">
      <c r="A6" s="3">
        <v>44273</v>
      </c>
      <c r="B6" t="s">
        <v>10</v>
      </c>
      <c r="C6" t="s">
        <v>11</v>
      </c>
      <c r="D6" s="5">
        <v>770</v>
      </c>
      <c r="E6" s="5">
        <f>Ventas[[#This Row],[Precio Dolares]]*20.5</f>
        <v>15785</v>
      </c>
      <c r="F6" t="s">
        <v>45</v>
      </c>
      <c r="G6" t="s">
        <v>54</v>
      </c>
      <c r="H6">
        <v>2</v>
      </c>
      <c r="I6" s="11">
        <f>Ventas[[#This Row],[Cantidad]]*Ventas[[#This Row],[Precio Pesos]]</f>
        <v>31570</v>
      </c>
    </row>
    <row r="7" spans="1:9" x14ac:dyDescent="0.25">
      <c r="A7" s="3">
        <v>44192</v>
      </c>
      <c r="B7" t="s">
        <v>5</v>
      </c>
      <c r="C7" t="s">
        <v>12</v>
      </c>
      <c r="D7" s="5">
        <v>25</v>
      </c>
      <c r="E7" s="5">
        <f>Ventas[[#This Row],[Precio Dolares]]*20.5</f>
        <v>512.5</v>
      </c>
      <c r="F7" t="s">
        <v>48</v>
      </c>
      <c r="G7" t="s">
        <v>52</v>
      </c>
      <c r="H7">
        <v>12</v>
      </c>
      <c r="I7" s="11">
        <f>Ventas[[#This Row],[Cantidad]]*Ventas[[#This Row],[Precio Pesos]]</f>
        <v>6150</v>
      </c>
    </row>
    <row r="8" spans="1:9" x14ac:dyDescent="0.25">
      <c r="A8" s="3">
        <v>44253</v>
      </c>
      <c r="B8" t="s">
        <v>3</v>
      </c>
      <c r="C8" t="s">
        <v>13</v>
      </c>
      <c r="D8" s="5">
        <v>45</v>
      </c>
      <c r="E8" s="5">
        <f>Ventas[[#This Row],[Precio Dolares]]*20.5</f>
        <v>922.5</v>
      </c>
      <c r="F8" t="s">
        <v>49</v>
      </c>
      <c r="G8" t="s">
        <v>54</v>
      </c>
      <c r="H8">
        <v>9</v>
      </c>
      <c r="I8" s="11">
        <f>Ventas[[#This Row],[Cantidad]]*Ventas[[#This Row],[Precio Pesos]]</f>
        <v>8302.5</v>
      </c>
    </row>
    <row r="9" spans="1:9" x14ac:dyDescent="0.25">
      <c r="A9" s="3">
        <v>44149</v>
      </c>
      <c r="B9" t="s">
        <v>5</v>
      </c>
      <c r="C9" t="s">
        <v>14</v>
      </c>
      <c r="D9" s="5">
        <v>120.4</v>
      </c>
      <c r="E9" s="5">
        <f>Ventas[[#This Row],[Precio Dolares]]*20.5</f>
        <v>2468.2000000000003</v>
      </c>
      <c r="F9" t="s">
        <v>49</v>
      </c>
      <c r="G9" t="s">
        <v>56</v>
      </c>
      <c r="H9">
        <v>15</v>
      </c>
      <c r="I9" s="11">
        <f>Ventas[[#This Row],[Cantidad]]*Ventas[[#This Row],[Precio Pesos]]</f>
        <v>37023.000000000007</v>
      </c>
    </row>
    <row r="10" spans="1:9" x14ac:dyDescent="0.25">
      <c r="A10" s="3">
        <v>44115</v>
      </c>
      <c r="B10" t="s">
        <v>15</v>
      </c>
      <c r="C10" t="s">
        <v>11</v>
      </c>
      <c r="D10" s="5">
        <v>770</v>
      </c>
      <c r="E10" s="5">
        <f>Ventas[[#This Row],[Precio Dolares]]*20.5</f>
        <v>15785</v>
      </c>
      <c r="F10" t="s">
        <v>45</v>
      </c>
      <c r="G10" t="s">
        <v>54</v>
      </c>
      <c r="H10">
        <v>10</v>
      </c>
      <c r="I10" s="11">
        <f>Ventas[[#This Row],[Cantidad]]*Ventas[[#This Row],[Precio Pesos]]</f>
        <v>157850</v>
      </c>
    </row>
    <row r="11" spans="1:9" x14ac:dyDescent="0.25">
      <c r="A11" s="3">
        <v>44138</v>
      </c>
      <c r="B11" t="s">
        <v>7</v>
      </c>
      <c r="C11" t="s">
        <v>16</v>
      </c>
      <c r="D11" s="5">
        <v>65</v>
      </c>
      <c r="E11" s="5">
        <f>Ventas[[#This Row],[Precio Dolares]]*20.5</f>
        <v>1332.5</v>
      </c>
      <c r="F11" t="s">
        <v>50</v>
      </c>
      <c r="G11" t="s">
        <v>57</v>
      </c>
      <c r="H11">
        <v>2</v>
      </c>
      <c r="I11" s="11">
        <f>Ventas[[#This Row],[Cantidad]]*Ventas[[#This Row],[Precio Pesos]]</f>
        <v>2665</v>
      </c>
    </row>
    <row r="12" spans="1:9" x14ac:dyDescent="0.25">
      <c r="A12" s="3">
        <v>44118</v>
      </c>
      <c r="B12" t="s">
        <v>10</v>
      </c>
      <c r="C12" t="s">
        <v>17</v>
      </c>
      <c r="D12" s="5">
        <v>45.2</v>
      </c>
      <c r="E12" s="5">
        <f>Ventas[[#This Row],[Precio Dolares]]*20.5</f>
        <v>926.6</v>
      </c>
      <c r="F12" t="s">
        <v>45</v>
      </c>
      <c r="G12" t="s">
        <v>55</v>
      </c>
      <c r="H12">
        <v>10</v>
      </c>
      <c r="I12" s="11">
        <f>Ventas[[#This Row],[Cantidad]]*Ventas[[#This Row],[Precio Pesos]]</f>
        <v>9266</v>
      </c>
    </row>
    <row r="13" spans="1:9" x14ac:dyDescent="0.25">
      <c r="A13" s="3">
        <v>44144</v>
      </c>
      <c r="B13" t="s">
        <v>3</v>
      </c>
      <c r="C13" t="s">
        <v>18</v>
      </c>
      <c r="D13" s="5">
        <v>650</v>
      </c>
      <c r="E13" s="5">
        <f>Ventas[[#This Row],[Precio Dolares]]*20.5</f>
        <v>13325</v>
      </c>
      <c r="F13" t="s">
        <v>50</v>
      </c>
      <c r="G13" t="s">
        <v>54</v>
      </c>
      <c r="H13">
        <v>18</v>
      </c>
      <c r="I13" s="11">
        <f>Ventas[[#This Row],[Cantidad]]*Ventas[[#This Row],[Precio Pesos]]</f>
        <v>239850</v>
      </c>
    </row>
    <row r="14" spans="1:9" x14ac:dyDescent="0.25">
      <c r="A14" s="3">
        <v>44193</v>
      </c>
      <c r="B14" t="s">
        <v>3</v>
      </c>
      <c r="C14" t="s">
        <v>19</v>
      </c>
      <c r="D14" s="5">
        <v>29.5</v>
      </c>
      <c r="E14" s="5">
        <f>Ventas[[#This Row],[Precio Dolares]]*20.5</f>
        <v>604.75</v>
      </c>
      <c r="F14" t="s">
        <v>48</v>
      </c>
      <c r="G14" t="s">
        <v>52</v>
      </c>
      <c r="H14">
        <v>2</v>
      </c>
      <c r="I14" s="11">
        <f>Ventas[[#This Row],[Cantidad]]*Ventas[[#This Row],[Precio Pesos]]</f>
        <v>1209.5</v>
      </c>
    </row>
    <row r="15" spans="1:9" x14ac:dyDescent="0.25">
      <c r="A15" s="3">
        <v>44205</v>
      </c>
      <c r="B15" t="s">
        <v>7</v>
      </c>
      <c r="C15" t="s">
        <v>13</v>
      </c>
      <c r="D15" s="5">
        <v>45</v>
      </c>
      <c r="E15" s="5">
        <f>Ventas[[#This Row],[Precio Dolares]]*20.5</f>
        <v>922.5</v>
      </c>
      <c r="F15" t="s">
        <v>49</v>
      </c>
      <c r="G15" t="s">
        <v>54</v>
      </c>
      <c r="H15">
        <v>15</v>
      </c>
      <c r="I15" s="11">
        <f>Ventas[[#This Row],[Cantidad]]*Ventas[[#This Row],[Precio Pesos]]</f>
        <v>13837.5</v>
      </c>
    </row>
    <row r="16" spans="1:9" x14ac:dyDescent="0.25">
      <c r="A16" s="3">
        <v>44246</v>
      </c>
      <c r="B16" t="s">
        <v>3</v>
      </c>
      <c r="C16" t="s">
        <v>20</v>
      </c>
      <c r="D16" s="5">
        <v>95</v>
      </c>
      <c r="E16" s="5">
        <f>Ventas[[#This Row],[Precio Dolares]]*20.5</f>
        <v>1947.5</v>
      </c>
      <c r="F16" t="s">
        <v>49</v>
      </c>
      <c r="G16" t="s">
        <v>56</v>
      </c>
      <c r="H16">
        <v>14</v>
      </c>
      <c r="I16" s="11">
        <f>Ventas[[#This Row],[Cantidad]]*Ventas[[#This Row],[Precio Pesos]]</f>
        <v>27265</v>
      </c>
    </row>
    <row r="17" spans="1:9" x14ac:dyDescent="0.25">
      <c r="A17" s="3">
        <v>44297</v>
      </c>
      <c r="B17" t="s">
        <v>5</v>
      </c>
      <c r="C17" t="s">
        <v>4</v>
      </c>
      <c r="D17" s="5">
        <v>55</v>
      </c>
      <c r="E17" s="5">
        <f>Ventas[[#This Row],[Precio Dolares]]*20.5</f>
        <v>1127.5</v>
      </c>
      <c r="F17" t="s">
        <v>45</v>
      </c>
      <c r="G17" t="s">
        <v>52</v>
      </c>
      <c r="H17">
        <v>14</v>
      </c>
      <c r="I17" s="11">
        <f>Ventas[[#This Row],[Cantidad]]*Ventas[[#This Row],[Precio Pesos]]</f>
        <v>15785</v>
      </c>
    </row>
    <row r="18" spans="1:9" x14ac:dyDescent="0.25">
      <c r="A18" s="3">
        <v>44242</v>
      </c>
      <c r="B18" t="s">
        <v>3</v>
      </c>
      <c r="C18" t="s">
        <v>21</v>
      </c>
      <c r="D18" s="5">
        <v>84.2</v>
      </c>
      <c r="E18" s="5">
        <f>Ventas[[#This Row],[Precio Dolares]]*20.5</f>
        <v>1726.1000000000001</v>
      </c>
      <c r="F18" t="s">
        <v>49</v>
      </c>
      <c r="G18" t="s">
        <v>52</v>
      </c>
      <c r="H18">
        <v>6</v>
      </c>
      <c r="I18" s="11">
        <f>Ventas[[#This Row],[Cantidad]]*Ventas[[#This Row],[Precio Pesos]]</f>
        <v>10356.6</v>
      </c>
    </row>
    <row r="19" spans="1:9" x14ac:dyDescent="0.25">
      <c r="A19" s="3">
        <v>44298</v>
      </c>
      <c r="B19" t="s">
        <v>10</v>
      </c>
      <c r="C19" t="s">
        <v>21</v>
      </c>
      <c r="D19" s="5">
        <v>84.2</v>
      </c>
      <c r="E19" s="5">
        <f>Ventas[[#This Row],[Precio Dolares]]*20.5</f>
        <v>1726.1000000000001</v>
      </c>
      <c r="F19" t="s">
        <v>49</v>
      </c>
      <c r="G19" t="s">
        <v>52</v>
      </c>
      <c r="H19">
        <v>6</v>
      </c>
      <c r="I19" s="11">
        <f>Ventas[[#This Row],[Cantidad]]*Ventas[[#This Row],[Precio Pesos]]</f>
        <v>10356.6</v>
      </c>
    </row>
    <row r="20" spans="1:9" x14ac:dyDescent="0.25">
      <c r="A20" s="3">
        <v>44134</v>
      </c>
      <c r="B20" t="s">
        <v>15</v>
      </c>
      <c r="C20" t="s">
        <v>19</v>
      </c>
      <c r="D20" s="5">
        <v>29.5</v>
      </c>
      <c r="E20" s="5">
        <f>Ventas[[#This Row],[Precio Dolares]]*20.5</f>
        <v>604.75</v>
      </c>
      <c r="F20" t="s">
        <v>48</v>
      </c>
      <c r="G20" t="s">
        <v>52</v>
      </c>
      <c r="H20">
        <v>12</v>
      </c>
      <c r="I20" s="11">
        <f>Ventas[[#This Row],[Cantidad]]*Ventas[[#This Row],[Precio Pesos]]</f>
        <v>7257</v>
      </c>
    </row>
    <row r="21" spans="1:9" x14ac:dyDescent="0.25">
      <c r="A21" s="3">
        <v>44142</v>
      </c>
      <c r="B21" t="s">
        <v>5</v>
      </c>
      <c r="C21" t="s">
        <v>19</v>
      </c>
      <c r="D21" s="5">
        <v>29.5</v>
      </c>
      <c r="E21" s="5">
        <f>Ventas[[#This Row],[Precio Dolares]]*20.5</f>
        <v>604.75</v>
      </c>
      <c r="F21" t="s">
        <v>48</v>
      </c>
      <c r="G21" t="s">
        <v>52</v>
      </c>
      <c r="H21">
        <v>17</v>
      </c>
      <c r="I21" s="11">
        <f>Ventas[[#This Row],[Cantidad]]*Ventas[[#This Row],[Precio Pesos]]</f>
        <v>10280.75</v>
      </c>
    </row>
    <row r="22" spans="1:9" x14ac:dyDescent="0.25">
      <c r="A22" s="3">
        <v>44271</v>
      </c>
      <c r="B22" t="s">
        <v>5</v>
      </c>
      <c r="C22" t="s">
        <v>9</v>
      </c>
      <c r="D22" s="5">
        <v>30</v>
      </c>
      <c r="E22" s="5">
        <f>Ventas[[#This Row],[Precio Dolares]]*20.5</f>
        <v>615</v>
      </c>
      <c r="F22" t="s">
        <v>47</v>
      </c>
      <c r="G22" t="s">
        <v>55</v>
      </c>
      <c r="H22">
        <v>2</v>
      </c>
      <c r="I22" s="11">
        <f>Ventas[[#This Row],[Cantidad]]*Ventas[[#This Row],[Precio Pesos]]</f>
        <v>1230</v>
      </c>
    </row>
    <row r="23" spans="1:9" x14ac:dyDescent="0.25">
      <c r="A23" s="3">
        <v>44148</v>
      </c>
      <c r="B23" t="s">
        <v>15</v>
      </c>
      <c r="C23" t="s">
        <v>22</v>
      </c>
      <c r="D23" s="5">
        <v>850</v>
      </c>
      <c r="E23" s="5">
        <f>Ventas[[#This Row],[Precio Dolares]]*20.5</f>
        <v>17425</v>
      </c>
      <c r="F23" t="s">
        <v>45</v>
      </c>
      <c r="G23" t="s">
        <v>54</v>
      </c>
      <c r="H23">
        <v>16</v>
      </c>
      <c r="I23" s="11">
        <f>Ventas[[#This Row],[Cantidad]]*Ventas[[#This Row],[Precio Pesos]]</f>
        <v>278800</v>
      </c>
    </row>
    <row r="24" spans="1:9" x14ac:dyDescent="0.25">
      <c r="A24" s="3">
        <v>44143</v>
      </c>
      <c r="B24" t="s">
        <v>5</v>
      </c>
      <c r="C24" t="s">
        <v>19</v>
      </c>
      <c r="D24" s="5">
        <v>29.5</v>
      </c>
      <c r="E24" s="5">
        <f>Ventas[[#This Row],[Precio Dolares]]*20.5</f>
        <v>604.75</v>
      </c>
      <c r="F24" t="s">
        <v>48</v>
      </c>
      <c r="G24" t="s">
        <v>52</v>
      </c>
      <c r="H24">
        <v>17</v>
      </c>
      <c r="I24" s="11">
        <f>Ventas[[#This Row],[Cantidad]]*Ventas[[#This Row],[Precio Pesos]]</f>
        <v>10280.75</v>
      </c>
    </row>
    <row r="25" spans="1:9" x14ac:dyDescent="0.25">
      <c r="A25" s="3">
        <v>44208</v>
      </c>
      <c r="B25" t="s">
        <v>7</v>
      </c>
      <c r="C25" t="s">
        <v>23</v>
      </c>
      <c r="D25" s="5">
        <v>150</v>
      </c>
      <c r="E25" s="5">
        <f>Ventas[[#This Row],[Precio Dolares]]*20.5</f>
        <v>3075</v>
      </c>
      <c r="F25" t="s">
        <v>46</v>
      </c>
      <c r="G25" t="s">
        <v>53</v>
      </c>
      <c r="H25">
        <v>1</v>
      </c>
      <c r="I25" s="11">
        <f>Ventas[[#This Row],[Cantidad]]*Ventas[[#This Row],[Precio Pesos]]</f>
        <v>3075</v>
      </c>
    </row>
    <row r="26" spans="1:9" x14ac:dyDescent="0.25">
      <c r="A26" s="3">
        <v>44153</v>
      </c>
      <c r="B26" t="s">
        <v>15</v>
      </c>
      <c r="C26" t="s">
        <v>23</v>
      </c>
      <c r="D26" s="5">
        <v>150</v>
      </c>
      <c r="E26" s="5">
        <f>Ventas[[#This Row],[Precio Dolares]]*20.5</f>
        <v>3075</v>
      </c>
      <c r="F26" t="s">
        <v>46</v>
      </c>
      <c r="G26" t="s">
        <v>53</v>
      </c>
      <c r="H26">
        <v>12</v>
      </c>
      <c r="I26" s="11">
        <f>Ventas[[#This Row],[Cantidad]]*Ventas[[#This Row],[Precio Pesos]]</f>
        <v>36900</v>
      </c>
    </row>
    <row r="27" spans="1:9" x14ac:dyDescent="0.25">
      <c r="A27" s="3">
        <v>44211</v>
      </c>
      <c r="B27" t="s">
        <v>3</v>
      </c>
      <c r="C27" t="s">
        <v>24</v>
      </c>
      <c r="D27" s="5">
        <v>80.400000000000006</v>
      </c>
      <c r="E27" s="5">
        <f>Ventas[[#This Row],[Precio Dolares]]*20.5</f>
        <v>1648.2</v>
      </c>
      <c r="F27" t="s">
        <v>49</v>
      </c>
      <c r="G27" t="s">
        <v>52</v>
      </c>
      <c r="H27">
        <v>18</v>
      </c>
      <c r="I27" s="11">
        <f>Ventas[[#This Row],[Cantidad]]*Ventas[[#This Row],[Precio Pesos]]</f>
        <v>29667.600000000002</v>
      </c>
    </row>
    <row r="28" spans="1:9" x14ac:dyDescent="0.25">
      <c r="A28" s="3">
        <v>44196</v>
      </c>
      <c r="B28" t="s">
        <v>15</v>
      </c>
      <c r="C28" t="s">
        <v>11</v>
      </c>
      <c r="D28" s="5">
        <v>770</v>
      </c>
      <c r="E28" s="5">
        <f>Ventas[[#This Row],[Precio Dolares]]*20.5</f>
        <v>15785</v>
      </c>
      <c r="F28" t="s">
        <v>45</v>
      </c>
      <c r="G28" t="s">
        <v>54</v>
      </c>
      <c r="H28">
        <v>14</v>
      </c>
      <c r="I28" s="11">
        <f>Ventas[[#This Row],[Cantidad]]*Ventas[[#This Row],[Precio Pesos]]</f>
        <v>220990</v>
      </c>
    </row>
    <row r="29" spans="1:9" x14ac:dyDescent="0.25">
      <c r="A29" s="3">
        <v>44254</v>
      </c>
      <c r="B29" t="s">
        <v>5</v>
      </c>
      <c r="C29" t="s">
        <v>9</v>
      </c>
      <c r="D29" s="5">
        <v>30</v>
      </c>
      <c r="E29" s="5">
        <f>Ventas[[#This Row],[Precio Dolares]]*20.5</f>
        <v>615</v>
      </c>
      <c r="F29" t="s">
        <v>47</v>
      </c>
      <c r="G29" t="s">
        <v>55</v>
      </c>
      <c r="H29">
        <v>9</v>
      </c>
      <c r="I29" s="11">
        <f>Ventas[[#This Row],[Cantidad]]*Ventas[[#This Row],[Precio Pesos]]</f>
        <v>5535</v>
      </c>
    </row>
    <row r="30" spans="1:9" x14ac:dyDescent="0.25">
      <c r="A30" s="3">
        <v>44244</v>
      </c>
      <c r="B30" t="s">
        <v>10</v>
      </c>
      <c r="C30" t="s">
        <v>13</v>
      </c>
      <c r="D30" s="5">
        <v>45</v>
      </c>
      <c r="E30" s="5">
        <f>Ventas[[#This Row],[Precio Dolares]]*20.5</f>
        <v>922.5</v>
      </c>
      <c r="F30" t="s">
        <v>49</v>
      </c>
      <c r="G30" t="s">
        <v>54</v>
      </c>
      <c r="H30">
        <v>10</v>
      </c>
      <c r="I30" s="11">
        <f>Ventas[[#This Row],[Cantidad]]*Ventas[[#This Row],[Precio Pesos]]</f>
        <v>9225</v>
      </c>
    </row>
    <row r="31" spans="1:9" x14ac:dyDescent="0.25">
      <c r="A31" s="3">
        <v>44212</v>
      </c>
      <c r="B31" t="s">
        <v>3</v>
      </c>
      <c r="C31" t="s">
        <v>6</v>
      </c>
      <c r="D31" s="5">
        <v>84</v>
      </c>
      <c r="E31" s="5">
        <f>Ventas[[#This Row],[Precio Dolares]]*20.5</f>
        <v>1722</v>
      </c>
      <c r="F31" t="s">
        <v>46</v>
      </c>
      <c r="G31" t="s">
        <v>53</v>
      </c>
      <c r="H31">
        <v>14</v>
      </c>
      <c r="I31" s="11">
        <f>Ventas[[#This Row],[Cantidad]]*Ventas[[#This Row],[Precio Pesos]]</f>
        <v>24108</v>
      </c>
    </row>
    <row r="32" spans="1:9" x14ac:dyDescent="0.25">
      <c r="A32" s="3">
        <v>44121</v>
      </c>
      <c r="B32" t="s">
        <v>3</v>
      </c>
      <c r="C32" t="s">
        <v>25</v>
      </c>
      <c r="D32" s="5">
        <v>52.3</v>
      </c>
      <c r="E32" s="5">
        <f>Ventas[[#This Row],[Precio Dolares]]*20.5</f>
        <v>1072.1499999999999</v>
      </c>
      <c r="F32" t="s">
        <v>46</v>
      </c>
      <c r="G32" t="s">
        <v>53</v>
      </c>
      <c r="H32">
        <v>10</v>
      </c>
      <c r="I32" s="11">
        <f>Ventas[[#This Row],[Cantidad]]*Ventas[[#This Row],[Precio Pesos]]</f>
        <v>10721.499999999998</v>
      </c>
    </row>
    <row r="33" spans="1:9" x14ac:dyDescent="0.25">
      <c r="A33" s="3">
        <v>44253</v>
      </c>
      <c r="B33" s="4" t="s">
        <v>15</v>
      </c>
      <c r="C33" s="4" t="s">
        <v>22</v>
      </c>
      <c r="D33" s="5">
        <v>850</v>
      </c>
      <c r="E33" s="5">
        <f>Ventas[[#This Row],[Precio Dolares]]*20.5</f>
        <v>17425</v>
      </c>
      <c r="F33" t="s">
        <v>45</v>
      </c>
      <c r="G33" t="s">
        <v>54</v>
      </c>
      <c r="H33">
        <v>17</v>
      </c>
      <c r="I33" s="11">
        <f>Ventas[[#This Row],[Cantidad]]*Ventas[[#This Row],[Precio Pesos]]</f>
        <v>296225</v>
      </c>
    </row>
    <row r="34" spans="1:9" x14ac:dyDescent="0.25">
      <c r="A34" s="3">
        <v>44130</v>
      </c>
      <c r="B34" s="4" t="s">
        <v>15</v>
      </c>
      <c r="C34" s="4" t="s">
        <v>11</v>
      </c>
      <c r="D34" s="5">
        <v>770</v>
      </c>
      <c r="E34" s="5">
        <f>Ventas[[#This Row],[Precio Dolares]]*20.5</f>
        <v>15785</v>
      </c>
      <c r="F34" t="s">
        <v>45</v>
      </c>
      <c r="G34" t="s">
        <v>54</v>
      </c>
      <c r="H34">
        <v>1</v>
      </c>
      <c r="I34" s="11">
        <f>Ventas[[#This Row],[Cantidad]]*Ventas[[#This Row],[Precio Pesos]]</f>
        <v>15785</v>
      </c>
    </row>
    <row r="35" spans="1:9" x14ac:dyDescent="0.25">
      <c r="A35" s="3">
        <v>44121</v>
      </c>
      <c r="B35" s="4" t="s">
        <v>10</v>
      </c>
      <c r="C35" s="4" t="s">
        <v>11</v>
      </c>
      <c r="D35" s="5">
        <v>770</v>
      </c>
      <c r="E35" s="5">
        <f>Ventas[[#This Row],[Precio Dolares]]*20.5</f>
        <v>15785</v>
      </c>
      <c r="F35" t="s">
        <v>45</v>
      </c>
      <c r="G35" t="s">
        <v>54</v>
      </c>
      <c r="H35">
        <v>18</v>
      </c>
      <c r="I35" s="11">
        <f>Ventas[[#This Row],[Cantidad]]*Ventas[[#This Row],[Precio Pesos]]</f>
        <v>284130</v>
      </c>
    </row>
    <row r="36" spans="1:9" x14ac:dyDescent="0.25">
      <c r="A36" s="3">
        <v>44193</v>
      </c>
      <c r="B36" s="4" t="s">
        <v>10</v>
      </c>
      <c r="C36" s="4" t="s">
        <v>22</v>
      </c>
      <c r="D36" s="5">
        <v>850</v>
      </c>
      <c r="E36" s="5">
        <f>Ventas[[#This Row],[Precio Dolares]]*20.5</f>
        <v>17425</v>
      </c>
      <c r="F36" t="s">
        <v>45</v>
      </c>
      <c r="G36" t="s">
        <v>54</v>
      </c>
      <c r="H36">
        <v>12</v>
      </c>
      <c r="I36" s="11">
        <f>Ventas[[#This Row],[Cantidad]]*Ventas[[#This Row],[Precio Pesos]]</f>
        <v>209100</v>
      </c>
    </row>
    <row r="37" spans="1:9" x14ac:dyDescent="0.25">
      <c r="A37" s="3">
        <v>44277</v>
      </c>
      <c r="B37" s="4" t="s">
        <v>7</v>
      </c>
      <c r="C37" s="4" t="s">
        <v>26</v>
      </c>
      <c r="D37" s="5">
        <v>32</v>
      </c>
      <c r="E37" s="5">
        <f>Ventas[[#This Row],[Precio Dolares]]*20.5</f>
        <v>656</v>
      </c>
      <c r="F37" t="s">
        <v>45</v>
      </c>
      <c r="G37" t="s">
        <v>52</v>
      </c>
      <c r="H37">
        <v>19</v>
      </c>
      <c r="I37" s="11">
        <f>Ventas[[#This Row],[Cantidad]]*Ventas[[#This Row],[Precio Pesos]]</f>
        <v>12464</v>
      </c>
    </row>
    <row r="38" spans="1:9" x14ac:dyDescent="0.25">
      <c r="A38" s="3">
        <v>44153</v>
      </c>
      <c r="B38" s="4" t="s">
        <v>15</v>
      </c>
      <c r="C38" s="4" t="s">
        <v>27</v>
      </c>
      <c r="D38" s="5">
        <v>60</v>
      </c>
      <c r="E38" s="5">
        <f>Ventas[[#This Row],[Precio Dolares]]*20.5</f>
        <v>1230</v>
      </c>
      <c r="F38" t="s">
        <v>45</v>
      </c>
      <c r="G38" t="s">
        <v>52</v>
      </c>
      <c r="H38">
        <v>12</v>
      </c>
      <c r="I38" s="11">
        <f>Ventas[[#This Row],[Cantidad]]*Ventas[[#This Row],[Precio Pesos]]</f>
        <v>14760</v>
      </c>
    </row>
    <row r="39" spans="1:9" x14ac:dyDescent="0.25">
      <c r="A39" s="3">
        <v>44101</v>
      </c>
      <c r="B39" s="4" t="s">
        <v>7</v>
      </c>
      <c r="C39" s="4" t="s">
        <v>28</v>
      </c>
      <c r="D39" s="5">
        <v>720.5</v>
      </c>
      <c r="E39" s="5">
        <f>Ventas[[#This Row],[Precio Dolares]]*20.5</f>
        <v>14770.25</v>
      </c>
      <c r="F39" t="s">
        <v>45</v>
      </c>
      <c r="G39" t="s">
        <v>57</v>
      </c>
      <c r="H39">
        <v>7</v>
      </c>
      <c r="I39" s="11">
        <f>Ventas[[#This Row],[Cantidad]]*Ventas[[#This Row],[Precio Pesos]]</f>
        <v>103391.75</v>
      </c>
    </row>
    <row r="40" spans="1:9" x14ac:dyDescent="0.25">
      <c r="A40" s="3">
        <v>44196</v>
      </c>
      <c r="B40" s="4" t="s">
        <v>3</v>
      </c>
      <c r="C40" s="4" t="s">
        <v>4</v>
      </c>
      <c r="D40" s="5">
        <v>55</v>
      </c>
      <c r="E40" s="5">
        <f>Ventas[[#This Row],[Precio Dolares]]*20.5</f>
        <v>1127.5</v>
      </c>
      <c r="F40" t="s">
        <v>45</v>
      </c>
      <c r="G40" t="s">
        <v>52</v>
      </c>
      <c r="H40">
        <v>2</v>
      </c>
      <c r="I40" s="11">
        <f>Ventas[[#This Row],[Cantidad]]*Ventas[[#This Row],[Precio Pesos]]</f>
        <v>2255</v>
      </c>
    </row>
    <row r="41" spans="1:9" x14ac:dyDescent="0.25">
      <c r="A41" s="3">
        <v>44151</v>
      </c>
      <c r="B41" s="4" t="s">
        <v>3</v>
      </c>
      <c r="C41" s="4" t="s">
        <v>22</v>
      </c>
      <c r="D41" s="5">
        <v>850</v>
      </c>
      <c r="E41" s="5">
        <f>Ventas[[#This Row],[Precio Dolares]]*20.5</f>
        <v>17425</v>
      </c>
      <c r="F41" t="s">
        <v>45</v>
      </c>
      <c r="G41" t="s">
        <v>54</v>
      </c>
      <c r="H41">
        <v>1</v>
      </c>
      <c r="I41" s="11">
        <f>Ventas[[#This Row],[Cantidad]]*Ventas[[#This Row],[Precio Pesos]]</f>
        <v>17425</v>
      </c>
    </row>
    <row r="42" spans="1:9" x14ac:dyDescent="0.25">
      <c r="A42" s="3">
        <v>44291</v>
      </c>
      <c r="B42" s="4" t="s">
        <v>10</v>
      </c>
      <c r="C42" s="4" t="s">
        <v>8</v>
      </c>
      <c r="D42" s="5">
        <v>100.2</v>
      </c>
      <c r="E42" s="5">
        <f>Ventas[[#This Row],[Precio Dolares]]*20.5</f>
        <v>2054.1</v>
      </c>
      <c r="F42" t="s">
        <v>45</v>
      </c>
      <c r="G42" t="s">
        <v>54</v>
      </c>
      <c r="H42">
        <v>6</v>
      </c>
      <c r="I42" s="11">
        <f>Ventas[[#This Row],[Cantidad]]*Ventas[[#This Row],[Precio Pesos]]</f>
        <v>12324.599999999999</v>
      </c>
    </row>
    <row r="43" spans="1:9" x14ac:dyDescent="0.25">
      <c r="A43" s="3">
        <v>44131</v>
      </c>
      <c r="B43" s="4" t="s">
        <v>5</v>
      </c>
      <c r="C43" s="4" t="s">
        <v>17</v>
      </c>
      <c r="D43" s="5">
        <v>45.2</v>
      </c>
      <c r="E43" s="5">
        <f>Ventas[[#This Row],[Precio Dolares]]*20.5</f>
        <v>926.6</v>
      </c>
      <c r="F43" t="s">
        <v>45</v>
      </c>
      <c r="G43" t="s">
        <v>55</v>
      </c>
      <c r="H43">
        <v>20</v>
      </c>
      <c r="I43" s="11">
        <f>Ventas[[#This Row],[Cantidad]]*Ventas[[#This Row],[Precio Pesos]]</f>
        <v>18532</v>
      </c>
    </row>
    <row r="44" spans="1:9" x14ac:dyDescent="0.25">
      <c r="A44" s="3">
        <v>44112</v>
      </c>
      <c r="B44" s="4" t="s">
        <v>10</v>
      </c>
      <c r="C44" s="4" t="s">
        <v>28</v>
      </c>
      <c r="D44" s="5">
        <v>720.5</v>
      </c>
      <c r="E44" s="5">
        <f>Ventas[[#This Row],[Precio Dolares]]*20.5</f>
        <v>14770.25</v>
      </c>
      <c r="F44" t="s">
        <v>45</v>
      </c>
      <c r="G44" t="s">
        <v>57</v>
      </c>
      <c r="H44">
        <v>7</v>
      </c>
      <c r="I44" s="11">
        <f>Ventas[[#This Row],[Cantidad]]*Ventas[[#This Row],[Precio Pesos]]</f>
        <v>103391.75</v>
      </c>
    </row>
    <row r="45" spans="1:9" x14ac:dyDescent="0.25">
      <c r="A45" s="3">
        <v>44183</v>
      </c>
      <c r="B45" s="4" t="s">
        <v>7</v>
      </c>
      <c r="C45" s="4" t="s">
        <v>27</v>
      </c>
      <c r="D45" s="5">
        <v>60</v>
      </c>
      <c r="E45" s="5">
        <f>Ventas[[#This Row],[Precio Dolares]]*20.5</f>
        <v>1230</v>
      </c>
      <c r="F45" t="s">
        <v>45</v>
      </c>
      <c r="G45" t="s">
        <v>52</v>
      </c>
      <c r="H45">
        <v>1</v>
      </c>
      <c r="I45" s="11">
        <f>Ventas[[#This Row],[Cantidad]]*Ventas[[#This Row],[Precio Pesos]]</f>
        <v>1230</v>
      </c>
    </row>
    <row r="46" spans="1:9" x14ac:dyDescent="0.25">
      <c r="A46" s="3">
        <v>44230</v>
      </c>
      <c r="B46" s="4" t="s">
        <v>3</v>
      </c>
      <c r="C46" s="4" t="s">
        <v>4</v>
      </c>
      <c r="D46" s="5">
        <v>55</v>
      </c>
      <c r="E46" s="5">
        <f>Ventas[[#This Row],[Precio Dolares]]*20.5</f>
        <v>1127.5</v>
      </c>
      <c r="F46" t="s">
        <v>45</v>
      </c>
      <c r="G46" t="s">
        <v>52</v>
      </c>
      <c r="H46">
        <v>16</v>
      </c>
      <c r="I46" s="11">
        <f>Ventas[[#This Row],[Cantidad]]*Ventas[[#This Row],[Precio Pesos]]</f>
        <v>18040</v>
      </c>
    </row>
    <row r="47" spans="1:9" x14ac:dyDescent="0.25">
      <c r="A47" s="3">
        <v>44285</v>
      </c>
      <c r="B47" s="4" t="s">
        <v>10</v>
      </c>
      <c r="C47" s="4" t="s">
        <v>17</v>
      </c>
      <c r="D47" s="5">
        <v>45.2</v>
      </c>
      <c r="E47" s="5">
        <f>Ventas[[#This Row],[Precio Dolares]]*20.5</f>
        <v>926.6</v>
      </c>
      <c r="F47" t="s">
        <v>45</v>
      </c>
      <c r="G47" t="s">
        <v>55</v>
      </c>
      <c r="H47">
        <v>8</v>
      </c>
      <c r="I47" s="11">
        <f>Ventas[[#This Row],[Cantidad]]*Ventas[[#This Row],[Precio Pesos]]</f>
        <v>7412.8</v>
      </c>
    </row>
    <row r="48" spans="1:9" x14ac:dyDescent="0.25">
      <c r="A48" s="3">
        <v>44203</v>
      </c>
      <c r="B48" s="4" t="s">
        <v>3</v>
      </c>
      <c r="C48" s="4" t="s">
        <v>27</v>
      </c>
      <c r="D48" s="5">
        <v>60</v>
      </c>
      <c r="E48" s="5">
        <f>Ventas[[#This Row],[Precio Dolares]]*20.5</f>
        <v>1230</v>
      </c>
      <c r="F48" t="s">
        <v>45</v>
      </c>
      <c r="G48" t="s">
        <v>52</v>
      </c>
      <c r="H48">
        <v>4</v>
      </c>
      <c r="I48" s="11">
        <f>Ventas[[#This Row],[Cantidad]]*Ventas[[#This Row],[Precio Pesos]]</f>
        <v>4920</v>
      </c>
    </row>
    <row r="49" spans="1:9" x14ac:dyDescent="0.25">
      <c r="A49" s="3">
        <v>44222</v>
      </c>
      <c r="B49" s="4" t="s">
        <v>10</v>
      </c>
      <c r="C49" s="4" t="s">
        <v>4</v>
      </c>
      <c r="D49" s="5">
        <v>55</v>
      </c>
      <c r="E49" s="5">
        <f>Ventas[[#This Row],[Precio Dolares]]*20.5</f>
        <v>1127.5</v>
      </c>
      <c r="F49" t="s">
        <v>45</v>
      </c>
      <c r="G49" t="s">
        <v>52</v>
      </c>
      <c r="H49">
        <v>6</v>
      </c>
      <c r="I49" s="11">
        <f>Ventas[[#This Row],[Cantidad]]*Ventas[[#This Row],[Precio Pesos]]</f>
        <v>6765</v>
      </c>
    </row>
    <row r="50" spans="1:9" x14ac:dyDescent="0.25">
      <c r="A50" s="3">
        <v>44211</v>
      </c>
      <c r="B50" s="4" t="s">
        <v>5</v>
      </c>
      <c r="C50" s="4" t="s">
        <v>8</v>
      </c>
      <c r="D50" s="5">
        <v>100.2</v>
      </c>
      <c r="E50" s="5">
        <f>Ventas[[#This Row],[Precio Dolares]]*20.5</f>
        <v>2054.1</v>
      </c>
      <c r="F50" t="s">
        <v>45</v>
      </c>
      <c r="G50" t="s">
        <v>54</v>
      </c>
      <c r="H50">
        <v>8</v>
      </c>
      <c r="I50" s="11">
        <f>Ventas[[#This Row],[Cantidad]]*Ventas[[#This Row],[Precio Pesos]]</f>
        <v>16432.8</v>
      </c>
    </row>
    <row r="51" spans="1:9" x14ac:dyDescent="0.25">
      <c r="A51" s="3">
        <v>44238</v>
      </c>
      <c r="B51" s="4" t="s">
        <v>10</v>
      </c>
      <c r="C51" s="4" t="s">
        <v>29</v>
      </c>
      <c r="D51" s="5">
        <v>60.2</v>
      </c>
      <c r="E51" s="5">
        <f>Ventas[[#This Row],[Precio Dolares]]*20.5</f>
        <v>1234.1000000000001</v>
      </c>
      <c r="F51" t="s">
        <v>45</v>
      </c>
      <c r="G51" t="s">
        <v>57</v>
      </c>
      <c r="H51">
        <v>16</v>
      </c>
      <c r="I51" s="11">
        <f>Ventas[[#This Row],[Cantidad]]*Ventas[[#This Row],[Precio Pesos]]</f>
        <v>19745.600000000002</v>
      </c>
    </row>
    <row r="52" spans="1:9" x14ac:dyDescent="0.25">
      <c r="A52" s="3">
        <v>44161</v>
      </c>
      <c r="B52" s="4" t="s">
        <v>7</v>
      </c>
      <c r="C52" s="4" t="s">
        <v>8</v>
      </c>
      <c r="D52" s="5">
        <v>100.2</v>
      </c>
      <c r="E52" s="5">
        <f>Ventas[[#This Row],[Precio Dolares]]*20.5</f>
        <v>2054.1</v>
      </c>
      <c r="F52" t="s">
        <v>45</v>
      </c>
      <c r="G52" t="s">
        <v>54</v>
      </c>
      <c r="H52">
        <v>18</v>
      </c>
      <c r="I52" s="11">
        <f>Ventas[[#This Row],[Cantidad]]*Ventas[[#This Row],[Precio Pesos]]</f>
        <v>36973.799999999996</v>
      </c>
    </row>
    <row r="53" spans="1:9" x14ac:dyDescent="0.25">
      <c r="A53" s="3">
        <v>44109</v>
      </c>
      <c r="B53" s="4" t="s">
        <v>15</v>
      </c>
      <c r="C53" s="4" t="s">
        <v>22</v>
      </c>
      <c r="D53" s="5">
        <v>850</v>
      </c>
      <c r="E53" s="5">
        <f>Ventas[[#This Row],[Precio Dolares]]*20.5</f>
        <v>17425</v>
      </c>
      <c r="F53" t="s">
        <v>45</v>
      </c>
      <c r="G53" t="s">
        <v>54</v>
      </c>
      <c r="H53">
        <v>5</v>
      </c>
      <c r="I53" s="11">
        <f>Ventas[[#This Row],[Cantidad]]*Ventas[[#This Row],[Precio Pesos]]</f>
        <v>87125</v>
      </c>
    </row>
    <row r="54" spans="1:9" x14ac:dyDescent="0.25">
      <c r="A54" s="3">
        <v>44246</v>
      </c>
      <c r="B54" s="4" t="s">
        <v>7</v>
      </c>
      <c r="C54" s="4" t="s">
        <v>4</v>
      </c>
      <c r="D54" s="5">
        <v>55</v>
      </c>
      <c r="E54" s="5">
        <f>Ventas[[#This Row],[Precio Dolares]]*20.5</f>
        <v>1127.5</v>
      </c>
      <c r="F54" t="s">
        <v>45</v>
      </c>
      <c r="G54" t="s">
        <v>52</v>
      </c>
      <c r="H54">
        <v>9</v>
      </c>
      <c r="I54" s="11">
        <f>Ventas[[#This Row],[Cantidad]]*Ventas[[#This Row],[Precio Pesos]]</f>
        <v>10147.5</v>
      </c>
    </row>
    <row r="55" spans="1:9" x14ac:dyDescent="0.25">
      <c r="A55" s="3">
        <v>44160</v>
      </c>
      <c r="B55" s="4" t="s">
        <v>3</v>
      </c>
      <c r="C55" s="4" t="s">
        <v>16</v>
      </c>
      <c r="D55" s="5">
        <v>65</v>
      </c>
      <c r="E55" s="5">
        <f>Ventas[[#This Row],[Precio Dolares]]*20.5</f>
        <v>1332.5</v>
      </c>
      <c r="F55" t="s">
        <v>50</v>
      </c>
      <c r="G55" t="s">
        <v>57</v>
      </c>
      <c r="H55">
        <v>8</v>
      </c>
      <c r="I55" s="11">
        <f>Ventas[[#This Row],[Cantidad]]*Ventas[[#This Row],[Precio Pesos]]</f>
        <v>10660</v>
      </c>
    </row>
    <row r="56" spans="1:9" x14ac:dyDescent="0.25">
      <c r="A56" s="3">
        <v>44137</v>
      </c>
      <c r="B56" s="4" t="s">
        <v>10</v>
      </c>
      <c r="C56" s="4" t="s">
        <v>30</v>
      </c>
      <c r="D56" s="5">
        <v>150</v>
      </c>
      <c r="E56" s="5">
        <f>Ventas[[#This Row],[Precio Dolares]]*20.5</f>
        <v>3075</v>
      </c>
      <c r="F56" t="s">
        <v>50</v>
      </c>
      <c r="G56" t="s">
        <v>53</v>
      </c>
      <c r="H56">
        <v>20</v>
      </c>
      <c r="I56" s="11">
        <f>Ventas[[#This Row],[Cantidad]]*Ventas[[#This Row],[Precio Pesos]]</f>
        <v>61500</v>
      </c>
    </row>
    <row r="57" spans="1:9" x14ac:dyDescent="0.25">
      <c r="A57" s="3">
        <v>44177</v>
      </c>
      <c r="B57" s="4" t="s">
        <v>15</v>
      </c>
      <c r="C57" s="4" t="s">
        <v>30</v>
      </c>
      <c r="D57" s="5">
        <v>150</v>
      </c>
      <c r="E57" s="5">
        <f>Ventas[[#This Row],[Precio Dolares]]*20.5</f>
        <v>3075</v>
      </c>
      <c r="F57" t="s">
        <v>50</v>
      </c>
      <c r="G57" t="s">
        <v>53</v>
      </c>
      <c r="H57">
        <v>16</v>
      </c>
      <c r="I57" s="11">
        <f>Ventas[[#This Row],[Cantidad]]*Ventas[[#This Row],[Precio Pesos]]</f>
        <v>49200</v>
      </c>
    </row>
    <row r="58" spans="1:9" x14ac:dyDescent="0.25">
      <c r="A58" s="3">
        <v>44274</v>
      </c>
      <c r="B58" s="4" t="s">
        <v>7</v>
      </c>
      <c r="C58" s="4" t="s">
        <v>18</v>
      </c>
      <c r="D58" s="5">
        <v>650</v>
      </c>
      <c r="E58" s="5">
        <f>Ventas[[#This Row],[Precio Dolares]]*20.5</f>
        <v>13325</v>
      </c>
      <c r="F58" t="s">
        <v>50</v>
      </c>
      <c r="G58" t="s">
        <v>54</v>
      </c>
      <c r="H58">
        <v>9</v>
      </c>
      <c r="I58" s="11">
        <f>Ventas[[#This Row],[Cantidad]]*Ventas[[#This Row],[Precio Pesos]]</f>
        <v>119925</v>
      </c>
    </row>
    <row r="59" spans="1:9" x14ac:dyDescent="0.25">
      <c r="A59" s="3">
        <v>44117</v>
      </c>
      <c r="B59" s="4" t="s">
        <v>10</v>
      </c>
      <c r="C59" s="4" t="s">
        <v>18</v>
      </c>
      <c r="D59" s="5">
        <v>650</v>
      </c>
      <c r="E59" s="5">
        <f>Ventas[[#This Row],[Precio Dolares]]*20.5</f>
        <v>13325</v>
      </c>
      <c r="F59" t="s">
        <v>50</v>
      </c>
      <c r="G59" t="s">
        <v>54</v>
      </c>
      <c r="H59">
        <v>10</v>
      </c>
      <c r="I59" s="11">
        <f>Ventas[[#This Row],[Cantidad]]*Ventas[[#This Row],[Precio Pesos]]</f>
        <v>133250</v>
      </c>
    </row>
    <row r="60" spans="1:9" x14ac:dyDescent="0.25">
      <c r="A60" s="3">
        <v>44175</v>
      </c>
      <c r="B60" s="4" t="s">
        <v>5</v>
      </c>
      <c r="C60" s="4" t="s">
        <v>31</v>
      </c>
      <c r="D60" s="5">
        <v>980</v>
      </c>
      <c r="E60" s="5">
        <f>Ventas[[#This Row],[Precio Dolares]]*20.5</f>
        <v>20090</v>
      </c>
      <c r="F60" t="s">
        <v>50</v>
      </c>
      <c r="G60" t="s">
        <v>54</v>
      </c>
      <c r="H60">
        <v>18</v>
      </c>
      <c r="I60" s="11">
        <f>Ventas[[#This Row],[Cantidad]]*Ventas[[#This Row],[Precio Pesos]]</f>
        <v>361620</v>
      </c>
    </row>
    <row r="61" spans="1:9" x14ac:dyDescent="0.25">
      <c r="A61" s="3">
        <v>44136</v>
      </c>
      <c r="B61" s="4" t="s">
        <v>15</v>
      </c>
      <c r="C61" s="4" t="s">
        <v>30</v>
      </c>
      <c r="D61" s="5">
        <v>150</v>
      </c>
      <c r="E61" s="5">
        <f>Ventas[[#This Row],[Precio Dolares]]*20.5</f>
        <v>3075</v>
      </c>
      <c r="F61" t="s">
        <v>50</v>
      </c>
      <c r="G61" t="s">
        <v>53</v>
      </c>
      <c r="H61">
        <v>10</v>
      </c>
      <c r="I61" s="11">
        <f>Ventas[[#This Row],[Cantidad]]*Ventas[[#This Row],[Precio Pesos]]</f>
        <v>30750</v>
      </c>
    </row>
    <row r="62" spans="1:9" x14ac:dyDescent="0.25">
      <c r="A62" s="3">
        <v>44214</v>
      </c>
      <c r="B62" s="4" t="s">
        <v>7</v>
      </c>
      <c r="C62" s="4" t="s">
        <v>30</v>
      </c>
      <c r="D62" s="5">
        <v>150</v>
      </c>
      <c r="E62" s="5">
        <f>Ventas[[#This Row],[Precio Dolares]]*20.5</f>
        <v>3075</v>
      </c>
      <c r="F62" t="s">
        <v>50</v>
      </c>
      <c r="G62" t="s">
        <v>53</v>
      </c>
      <c r="H62">
        <v>2</v>
      </c>
      <c r="I62" s="11">
        <f>Ventas[[#This Row],[Cantidad]]*Ventas[[#This Row],[Precio Pesos]]</f>
        <v>6150</v>
      </c>
    </row>
    <row r="63" spans="1:9" x14ac:dyDescent="0.25">
      <c r="A63" s="3">
        <v>44156</v>
      </c>
      <c r="B63" s="4" t="s">
        <v>10</v>
      </c>
      <c r="C63" s="4" t="s">
        <v>31</v>
      </c>
      <c r="D63" s="5">
        <v>980</v>
      </c>
      <c r="E63" s="5">
        <f>Ventas[[#This Row],[Precio Dolares]]*20.5</f>
        <v>20090</v>
      </c>
      <c r="F63" t="s">
        <v>50</v>
      </c>
      <c r="G63" t="s">
        <v>54</v>
      </c>
      <c r="H63">
        <v>5</v>
      </c>
      <c r="I63" s="11">
        <f>Ventas[[#This Row],[Cantidad]]*Ventas[[#This Row],[Precio Pesos]]</f>
        <v>100450</v>
      </c>
    </row>
    <row r="64" spans="1:9" x14ac:dyDescent="0.25">
      <c r="A64" s="3">
        <v>44201</v>
      </c>
      <c r="B64" s="4" t="s">
        <v>10</v>
      </c>
      <c r="C64" s="4" t="s">
        <v>18</v>
      </c>
      <c r="D64" s="5">
        <v>650</v>
      </c>
      <c r="E64" s="5">
        <f>Ventas[[#This Row],[Precio Dolares]]*20.5</f>
        <v>13325</v>
      </c>
      <c r="F64" t="s">
        <v>50</v>
      </c>
      <c r="G64" t="s">
        <v>54</v>
      </c>
      <c r="H64">
        <v>10</v>
      </c>
      <c r="I64" s="11">
        <f>Ventas[[#This Row],[Cantidad]]*Ventas[[#This Row],[Precio Pesos]]</f>
        <v>133250</v>
      </c>
    </row>
    <row r="65" spans="1:9" x14ac:dyDescent="0.25">
      <c r="A65" s="3">
        <v>44260</v>
      </c>
      <c r="B65" s="4" t="s">
        <v>7</v>
      </c>
      <c r="C65" s="4" t="s">
        <v>18</v>
      </c>
      <c r="D65" s="5">
        <v>650</v>
      </c>
      <c r="E65" s="5">
        <f>Ventas[[#This Row],[Precio Dolares]]*20.5</f>
        <v>13325</v>
      </c>
      <c r="F65" t="s">
        <v>50</v>
      </c>
      <c r="G65" t="s">
        <v>54</v>
      </c>
      <c r="H65">
        <v>2</v>
      </c>
      <c r="I65" s="11">
        <f>Ventas[[#This Row],[Cantidad]]*Ventas[[#This Row],[Precio Pesos]]</f>
        <v>26650</v>
      </c>
    </row>
    <row r="66" spans="1:9" x14ac:dyDescent="0.25">
      <c r="A66" s="3">
        <v>44230</v>
      </c>
      <c r="B66" s="4" t="s">
        <v>7</v>
      </c>
      <c r="C66" s="4" t="s">
        <v>30</v>
      </c>
      <c r="D66" s="5">
        <v>150</v>
      </c>
      <c r="E66" s="5">
        <f>Ventas[[#This Row],[Precio Dolares]]*20.5</f>
        <v>3075</v>
      </c>
      <c r="F66" t="s">
        <v>50</v>
      </c>
      <c r="G66" t="s">
        <v>53</v>
      </c>
      <c r="H66">
        <v>19</v>
      </c>
      <c r="I66" s="11">
        <f>Ventas[[#This Row],[Cantidad]]*Ventas[[#This Row],[Precio Pesos]]</f>
        <v>58425</v>
      </c>
    </row>
    <row r="67" spans="1:9" x14ac:dyDescent="0.25">
      <c r="A67" s="3">
        <v>44152</v>
      </c>
      <c r="B67" s="4" t="s">
        <v>3</v>
      </c>
      <c r="C67" s="4" t="s">
        <v>16</v>
      </c>
      <c r="D67" s="5">
        <v>65</v>
      </c>
      <c r="E67" s="5">
        <f>Ventas[[#This Row],[Precio Dolares]]*20.5</f>
        <v>1332.5</v>
      </c>
      <c r="F67" t="s">
        <v>50</v>
      </c>
      <c r="G67" t="s">
        <v>57</v>
      </c>
      <c r="H67">
        <v>1</v>
      </c>
      <c r="I67" s="11">
        <f>Ventas[[#This Row],[Cantidad]]*Ventas[[#This Row],[Precio Pesos]]</f>
        <v>1332.5</v>
      </c>
    </row>
    <row r="68" spans="1:9" x14ac:dyDescent="0.25">
      <c r="A68" s="3">
        <v>44293</v>
      </c>
      <c r="B68" s="4" t="s">
        <v>10</v>
      </c>
      <c r="C68" s="4" t="s">
        <v>18</v>
      </c>
      <c r="D68" s="5">
        <v>650</v>
      </c>
      <c r="E68" s="5">
        <f>Ventas[[#This Row],[Precio Dolares]]*20.5</f>
        <v>13325</v>
      </c>
      <c r="F68" t="s">
        <v>50</v>
      </c>
      <c r="G68" t="s">
        <v>54</v>
      </c>
      <c r="H68">
        <v>3</v>
      </c>
      <c r="I68" s="11">
        <f>Ventas[[#This Row],[Cantidad]]*Ventas[[#This Row],[Precio Pesos]]</f>
        <v>39975</v>
      </c>
    </row>
    <row r="69" spans="1:9" x14ac:dyDescent="0.25">
      <c r="A69" s="3">
        <v>44287</v>
      </c>
      <c r="B69" s="4" t="s">
        <v>15</v>
      </c>
      <c r="C69" s="4" t="s">
        <v>32</v>
      </c>
      <c r="D69" s="5">
        <v>92.5</v>
      </c>
      <c r="E69" s="5">
        <f>Ventas[[#This Row],[Precio Dolares]]*20.5</f>
        <v>1896.25</v>
      </c>
      <c r="F69" t="s">
        <v>45</v>
      </c>
      <c r="G69" t="s">
        <v>55</v>
      </c>
      <c r="H69">
        <v>3</v>
      </c>
      <c r="I69" s="11">
        <f>Ventas[[#This Row],[Cantidad]]*Ventas[[#This Row],[Precio Pesos]]</f>
        <v>5688.75</v>
      </c>
    </row>
    <row r="70" spans="1:9" x14ac:dyDescent="0.25">
      <c r="A70" s="3">
        <v>44238</v>
      </c>
      <c r="B70" s="4" t="s">
        <v>7</v>
      </c>
      <c r="C70" s="4" t="s">
        <v>33</v>
      </c>
      <c r="D70" s="5">
        <v>850</v>
      </c>
      <c r="E70" s="5">
        <f>Ventas[[#This Row],[Precio Dolares]]*20.5</f>
        <v>17425</v>
      </c>
      <c r="F70" t="s">
        <v>45</v>
      </c>
      <c r="G70" t="s">
        <v>54</v>
      </c>
      <c r="H70">
        <v>8</v>
      </c>
      <c r="I70" s="11">
        <f>Ventas[[#This Row],[Cantidad]]*Ventas[[#This Row],[Precio Pesos]]</f>
        <v>139400</v>
      </c>
    </row>
    <row r="71" spans="1:9" x14ac:dyDescent="0.25">
      <c r="A71" s="3">
        <v>44219</v>
      </c>
      <c r="B71" s="4" t="s">
        <v>5</v>
      </c>
      <c r="C71" s="4" t="s">
        <v>34</v>
      </c>
      <c r="D71" s="5">
        <v>1050</v>
      </c>
      <c r="E71" s="5">
        <f>Ventas[[#This Row],[Precio Dolares]]*20.5</f>
        <v>21525</v>
      </c>
      <c r="F71" t="s">
        <v>45</v>
      </c>
      <c r="G71" t="s">
        <v>54</v>
      </c>
      <c r="H71">
        <v>10</v>
      </c>
      <c r="I71" s="11">
        <f>Ventas[[#This Row],[Cantidad]]*Ventas[[#This Row],[Precio Pesos]]</f>
        <v>215250</v>
      </c>
    </row>
    <row r="72" spans="1:9" x14ac:dyDescent="0.25">
      <c r="A72" s="3">
        <v>44271</v>
      </c>
      <c r="B72" s="4" t="s">
        <v>15</v>
      </c>
      <c r="C72" s="4" t="s">
        <v>4</v>
      </c>
      <c r="D72" s="5">
        <v>55</v>
      </c>
      <c r="E72" s="5">
        <f>Ventas[[#This Row],[Precio Dolares]]*20.5</f>
        <v>1127.5</v>
      </c>
      <c r="F72" t="s">
        <v>45</v>
      </c>
      <c r="G72" t="s">
        <v>52</v>
      </c>
      <c r="H72">
        <v>6</v>
      </c>
      <c r="I72" s="11">
        <f>Ventas[[#This Row],[Cantidad]]*Ventas[[#This Row],[Precio Pesos]]</f>
        <v>6765</v>
      </c>
    </row>
    <row r="73" spans="1:9" x14ac:dyDescent="0.25">
      <c r="A73" s="3">
        <v>44202</v>
      </c>
      <c r="B73" s="4" t="s">
        <v>7</v>
      </c>
      <c r="C73" s="4" t="s">
        <v>18</v>
      </c>
      <c r="D73" s="5">
        <v>650</v>
      </c>
      <c r="E73" s="5">
        <f>Ventas[[#This Row],[Precio Dolares]]*20.5</f>
        <v>13325</v>
      </c>
      <c r="F73" t="s">
        <v>50</v>
      </c>
      <c r="G73" t="s">
        <v>54</v>
      </c>
      <c r="H73">
        <v>9</v>
      </c>
      <c r="I73" s="11">
        <f>Ventas[[#This Row],[Cantidad]]*Ventas[[#This Row],[Precio Pesos]]</f>
        <v>119925</v>
      </c>
    </row>
    <row r="74" spans="1:9" x14ac:dyDescent="0.25">
      <c r="A74" s="3">
        <v>44238</v>
      </c>
      <c r="B74" s="4" t="s">
        <v>5</v>
      </c>
      <c r="C74" s="4" t="s">
        <v>29</v>
      </c>
      <c r="D74" s="5">
        <v>60.2</v>
      </c>
      <c r="E74" s="5">
        <f>Ventas[[#This Row],[Precio Dolares]]*20.5</f>
        <v>1234.1000000000001</v>
      </c>
      <c r="F74" t="s">
        <v>45</v>
      </c>
      <c r="G74" t="s">
        <v>57</v>
      </c>
      <c r="H74">
        <v>15</v>
      </c>
      <c r="I74" s="11">
        <f>Ventas[[#This Row],[Cantidad]]*Ventas[[#This Row],[Precio Pesos]]</f>
        <v>18511.500000000004</v>
      </c>
    </row>
    <row r="75" spans="1:9" x14ac:dyDescent="0.25">
      <c r="A75" s="3">
        <v>44125</v>
      </c>
      <c r="B75" s="4" t="s">
        <v>15</v>
      </c>
      <c r="C75" s="4" t="s">
        <v>30</v>
      </c>
      <c r="D75" s="5">
        <v>150</v>
      </c>
      <c r="E75" s="5">
        <f>Ventas[[#This Row],[Precio Dolares]]*20.5</f>
        <v>3075</v>
      </c>
      <c r="F75" t="s">
        <v>50</v>
      </c>
      <c r="G75" t="s">
        <v>53</v>
      </c>
      <c r="H75">
        <v>3</v>
      </c>
      <c r="I75" s="11">
        <f>Ventas[[#This Row],[Cantidad]]*Ventas[[#This Row],[Precio Pesos]]</f>
        <v>9225</v>
      </c>
    </row>
    <row r="76" spans="1:9" x14ac:dyDescent="0.25">
      <c r="A76" s="3">
        <v>44209</v>
      </c>
      <c r="B76" s="4" t="s">
        <v>10</v>
      </c>
      <c r="C76" s="4" t="s">
        <v>30</v>
      </c>
      <c r="D76" s="5">
        <v>150</v>
      </c>
      <c r="E76" s="5">
        <f>Ventas[[#This Row],[Precio Dolares]]*20.5</f>
        <v>3075</v>
      </c>
      <c r="F76" t="s">
        <v>50</v>
      </c>
      <c r="G76" t="s">
        <v>53</v>
      </c>
      <c r="H76">
        <v>1</v>
      </c>
      <c r="I76" s="11">
        <f>Ventas[[#This Row],[Cantidad]]*Ventas[[#This Row],[Precio Pesos]]</f>
        <v>3075</v>
      </c>
    </row>
    <row r="77" spans="1:9" x14ac:dyDescent="0.25">
      <c r="A77" s="3">
        <v>44184</v>
      </c>
      <c r="B77" s="4" t="s">
        <v>15</v>
      </c>
      <c r="C77" s="4" t="s">
        <v>30</v>
      </c>
      <c r="D77" s="5">
        <v>150</v>
      </c>
      <c r="E77" s="5">
        <f>Ventas[[#This Row],[Precio Dolares]]*20.5</f>
        <v>3075</v>
      </c>
      <c r="F77" t="s">
        <v>50</v>
      </c>
      <c r="G77" t="s">
        <v>53</v>
      </c>
      <c r="H77">
        <v>16</v>
      </c>
      <c r="I77" s="11">
        <f>Ventas[[#This Row],[Cantidad]]*Ventas[[#This Row],[Precio Pesos]]</f>
        <v>49200</v>
      </c>
    </row>
    <row r="78" spans="1:9" x14ac:dyDescent="0.25">
      <c r="A78" s="3">
        <v>44203</v>
      </c>
      <c r="B78" s="4" t="s">
        <v>5</v>
      </c>
      <c r="C78" s="4" t="s">
        <v>12</v>
      </c>
      <c r="D78" s="5">
        <v>25</v>
      </c>
      <c r="E78" s="5">
        <f>Ventas[[#This Row],[Precio Dolares]]*20.5</f>
        <v>512.5</v>
      </c>
      <c r="F78" t="s">
        <v>48</v>
      </c>
      <c r="G78" t="s">
        <v>52</v>
      </c>
      <c r="H78">
        <v>5</v>
      </c>
      <c r="I78" s="11">
        <f>Ventas[[#This Row],[Cantidad]]*Ventas[[#This Row],[Precio Pesos]]</f>
        <v>2562.5</v>
      </c>
    </row>
    <row r="79" spans="1:9" x14ac:dyDescent="0.25">
      <c r="A79" s="3">
        <v>44123</v>
      </c>
      <c r="B79" s="4" t="s">
        <v>15</v>
      </c>
      <c r="C79" s="4" t="s">
        <v>19</v>
      </c>
      <c r="D79" s="5">
        <v>29.5</v>
      </c>
      <c r="E79" s="5">
        <f>Ventas[[#This Row],[Precio Dolares]]*20.5</f>
        <v>604.75</v>
      </c>
      <c r="F79" t="s">
        <v>48</v>
      </c>
      <c r="G79" t="s">
        <v>52</v>
      </c>
      <c r="H79">
        <v>8</v>
      </c>
      <c r="I79" s="11">
        <f>Ventas[[#This Row],[Cantidad]]*Ventas[[#This Row],[Precio Pesos]]</f>
        <v>4838</v>
      </c>
    </row>
    <row r="80" spans="1:9" x14ac:dyDescent="0.25">
      <c r="A80" s="3">
        <v>44265</v>
      </c>
      <c r="B80" s="4" t="s">
        <v>3</v>
      </c>
      <c r="C80" s="4" t="s">
        <v>12</v>
      </c>
      <c r="D80" s="5">
        <v>25</v>
      </c>
      <c r="E80" s="5">
        <f>Ventas[[#This Row],[Precio Dolares]]*20.5</f>
        <v>512.5</v>
      </c>
      <c r="F80" t="s">
        <v>48</v>
      </c>
      <c r="G80" t="s">
        <v>52</v>
      </c>
      <c r="H80">
        <v>9</v>
      </c>
      <c r="I80" s="11">
        <f>Ventas[[#This Row],[Cantidad]]*Ventas[[#This Row],[Precio Pesos]]</f>
        <v>4612.5</v>
      </c>
    </row>
    <row r="81" spans="1:9" x14ac:dyDescent="0.25">
      <c r="A81" s="3">
        <v>44271</v>
      </c>
      <c r="B81" s="4" t="s">
        <v>10</v>
      </c>
      <c r="C81" s="4" t="s">
        <v>19</v>
      </c>
      <c r="D81" s="5">
        <v>29.5</v>
      </c>
      <c r="E81" s="5">
        <f>Ventas[[#This Row],[Precio Dolares]]*20.5</f>
        <v>604.75</v>
      </c>
      <c r="F81" t="s">
        <v>48</v>
      </c>
      <c r="G81" t="s">
        <v>52</v>
      </c>
      <c r="H81">
        <v>11</v>
      </c>
      <c r="I81" s="11">
        <f>Ventas[[#This Row],[Cantidad]]*Ventas[[#This Row],[Precio Pesos]]</f>
        <v>6652.25</v>
      </c>
    </row>
    <row r="82" spans="1:9" x14ac:dyDescent="0.25">
      <c r="A82" s="3">
        <v>44293</v>
      </c>
      <c r="B82" s="4" t="s">
        <v>10</v>
      </c>
      <c r="C82" s="4" t="s">
        <v>12</v>
      </c>
      <c r="D82" s="5">
        <v>25</v>
      </c>
      <c r="E82" s="5">
        <f>Ventas[[#This Row],[Precio Dolares]]*20.5</f>
        <v>512.5</v>
      </c>
      <c r="F82" t="s">
        <v>48</v>
      </c>
      <c r="G82" t="s">
        <v>52</v>
      </c>
      <c r="H82">
        <v>18</v>
      </c>
      <c r="I82" s="11">
        <f>Ventas[[#This Row],[Cantidad]]*Ventas[[#This Row],[Precio Pesos]]</f>
        <v>9225</v>
      </c>
    </row>
    <row r="83" spans="1:9" x14ac:dyDescent="0.25">
      <c r="A83" s="3">
        <v>44293</v>
      </c>
      <c r="B83" s="4" t="s">
        <v>7</v>
      </c>
      <c r="C83" s="4" t="s">
        <v>19</v>
      </c>
      <c r="D83" s="5">
        <v>29.5</v>
      </c>
      <c r="E83" s="5">
        <f>Ventas[[#This Row],[Precio Dolares]]*20.5</f>
        <v>604.75</v>
      </c>
      <c r="F83" t="s">
        <v>48</v>
      </c>
      <c r="G83" t="s">
        <v>52</v>
      </c>
      <c r="H83">
        <v>14</v>
      </c>
      <c r="I83" s="11">
        <f>Ventas[[#This Row],[Cantidad]]*Ventas[[#This Row],[Precio Pesos]]</f>
        <v>8466.5</v>
      </c>
    </row>
    <row r="84" spans="1:9" x14ac:dyDescent="0.25">
      <c r="A84" s="3">
        <v>44257</v>
      </c>
      <c r="B84" s="4" t="s">
        <v>10</v>
      </c>
      <c r="C84" s="4" t="s">
        <v>35</v>
      </c>
      <c r="D84" s="5">
        <v>855</v>
      </c>
      <c r="E84" s="5">
        <f>Ventas[[#This Row],[Precio Dolares]]*20.5</f>
        <v>17527.5</v>
      </c>
      <c r="F84" t="s">
        <v>46</v>
      </c>
      <c r="G84" t="s">
        <v>54</v>
      </c>
      <c r="H84">
        <v>9</v>
      </c>
      <c r="I84" s="11">
        <f>Ventas[[#This Row],[Cantidad]]*Ventas[[#This Row],[Precio Pesos]]</f>
        <v>157747.5</v>
      </c>
    </row>
    <row r="85" spans="1:9" x14ac:dyDescent="0.25">
      <c r="A85" s="3">
        <v>44210</v>
      </c>
      <c r="B85" s="4" t="s">
        <v>15</v>
      </c>
      <c r="C85" s="4" t="s">
        <v>36</v>
      </c>
      <c r="D85" s="5">
        <v>249</v>
      </c>
      <c r="E85" s="5">
        <f>Ventas[[#This Row],[Precio Dolares]]*20.5</f>
        <v>5104.5</v>
      </c>
      <c r="F85" t="s">
        <v>46</v>
      </c>
      <c r="G85" t="s">
        <v>53</v>
      </c>
      <c r="H85">
        <v>9</v>
      </c>
      <c r="I85" s="11">
        <f>Ventas[[#This Row],[Cantidad]]*Ventas[[#This Row],[Precio Pesos]]</f>
        <v>45940.5</v>
      </c>
    </row>
    <row r="86" spans="1:9" x14ac:dyDescent="0.25">
      <c r="A86" s="3">
        <v>44232</v>
      </c>
      <c r="B86" s="4" t="s">
        <v>3</v>
      </c>
      <c r="C86" s="4" t="s">
        <v>36</v>
      </c>
      <c r="D86" s="5">
        <v>249</v>
      </c>
      <c r="E86" s="5">
        <f>Ventas[[#This Row],[Precio Dolares]]*20.5</f>
        <v>5104.5</v>
      </c>
      <c r="F86" t="s">
        <v>46</v>
      </c>
      <c r="G86" t="s">
        <v>53</v>
      </c>
      <c r="H86">
        <v>9</v>
      </c>
      <c r="I86" s="11">
        <f>Ventas[[#This Row],[Cantidad]]*Ventas[[#This Row],[Precio Pesos]]</f>
        <v>45940.5</v>
      </c>
    </row>
    <row r="87" spans="1:9" x14ac:dyDescent="0.25">
      <c r="A87" s="3">
        <v>44299</v>
      </c>
      <c r="B87" s="4" t="s">
        <v>7</v>
      </c>
      <c r="C87" s="4" t="s">
        <v>35</v>
      </c>
      <c r="D87" s="5">
        <v>855</v>
      </c>
      <c r="E87" s="5">
        <f>Ventas[[#This Row],[Precio Dolares]]*20.5</f>
        <v>17527.5</v>
      </c>
      <c r="F87" t="s">
        <v>46</v>
      </c>
      <c r="G87" t="s">
        <v>54</v>
      </c>
      <c r="H87">
        <v>17</v>
      </c>
      <c r="I87" s="11">
        <f>Ventas[[#This Row],[Cantidad]]*Ventas[[#This Row],[Precio Pesos]]</f>
        <v>297967.5</v>
      </c>
    </row>
    <row r="88" spans="1:9" x14ac:dyDescent="0.25">
      <c r="A88" s="3">
        <v>44163</v>
      </c>
      <c r="B88" s="4" t="s">
        <v>15</v>
      </c>
      <c r="C88" s="4" t="s">
        <v>37</v>
      </c>
      <c r="D88" s="5">
        <v>339</v>
      </c>
      <c r="E88" s="5">
        <f>Ventas[[#This Row],[Precio Dolares]]*20.5</f>
        <v>6949.5</v>
      </c>
      <c r="F88" t="s">
        <v>46</v>
      </c>
      <c r="G88" t="s">
        <v>54</v>
      </c>
      <c r="H88">
        <v>16</v>
      </c>
      <c r="I88" s="11">
        <f>Ventas[[#This Row],[Cantidad]]*Ventas[[#This Row],[Precio Pesos]]</f>
        <v>111192</v>
      </c>
    </row>
    <row r="89" spans="1:9" x14ac:dyDescent="0.25">
      <c r="A89" s="3">
        <v>44198</v>
      </c>
      <c r="B89" s="4" t="s">
        <v>3</v>
      </c>
      <c r="C89" s="4" t="s">
        <v>37</v>
      </c>
      <c r="D89" s="5">
        <v>339</v>
      </c>
      <c r="E89" s="5">
        <f>Ventas[[#This Row],[Precio Dolares]]*20.5</f>
        <v>6949.5</v>
      </c>
      <c r="F89" t="s">
        <v>46</v>
      </c>
      <c r="G89" t="s">
        <v>54</v>
      </c>
      <c r="H89">
        <v>12</v>
      </c>
      <c r="I89" s="11">
        <f>Ventas[[#This Row],[Cantidad]]*Ventas[[#This Row],[Precio Pesos]]</f>
        <v>83394</v>
      </c>
    </row>
    <row r="90" spans="1:9" x14ac:dyDescent="0.25">
      <c r="A90" s="3">
        <v>44269</v>
      </c>
      <c r="B90" s="4" t="s">
        <v>15</v>
      </c>
      <c r="C90" s="4" t="s">
        <v>37</v>
      </c>
      <c r="D90" s="5">
        <v>339</v>
      </c>
      <c r="E90" s="5">
        <f>Ventas[[#This Row],[Precio Dolares]]*20.5</f>
        <v>6949.5</v>
      </c>
      <c r="F90" t="s">
        <v>46</v>
      </c>
      <c r="G90" t="s">
        <v>54</v>
      </c>
      <c r="H90">
        <v>14</v>
      </c>
      <c r="I90" s="11">
        <f>Ventas[[#This Row],[Cantidad]]*Ventas[[#This Row],[Precio Pesos]]</f>
        <v>97293</v>
      </c>
    </row>
    <row r="91" spans="1:9" x14ac:dyDescent="0.25">
      <c r="A91" s="3">
        <v>44279</v>
      </c>
      <c r="B91" s="4" t="s">
        <v>5</v>
      </c>
      <c r="C91" s="4" t="s">
        <v>36</v>
      </c>
      <c r="D91" s="5">
        <v>249</v>
      </c>
      <c r="E91" s="5">
        <f>Ventas[[#This Row],[Precio Dolares]]*20.5</f>
        <v>5104.5</v>
      </c>
      <c r="F91" t="s">
        <v>46</v>
      </c>
      <c r="G91" t="s">
        <v>53</v>
      </c>
      <c r="H91">
        <v>9</v>
      </c>
      <c r="I91" s="11">
        <f>Ventas[[#This Row],[Cantidad]]*Ventas[[#This Row],[Precio Pesos]]</f>
        <v>45940.5</v>
      </c>
    </row>
    <row r="92" spans="1:9" x14ac:dyDescent="0.25">
      <c r="A92" s="3">
        <v>44206</v>
      </c>
      <c r="B92" s="4" t="s">
        <v>10</v>
      </c>
      <c r="C92" s="4" t="s">
        <v>35</v>
      </c>
      <c r="D92" s="5">
        <v>855</v>
      </c>
      <c r="E92" s="5">
        <f>Ventas[[#This Row],[Precio Dolares]]*20.5</f>
        <v>17527.5</v>
      </c>
      <c r="F92" t="s">
        <v>46</v>
      </c>
      <c r="G92" t="s">
        <v>54</v>
      </c>
      <c r="H92">
        <v>2</v>
      </c>
      <c r="I92" s="11">
        <f>Ventas[[#This Row],[Cantidad]]*Ventas[[#This Row],[Precio Pesos]]</f>
        <v>35055</v>
      </c>
    </row>
    <row r="93" spans="1:9" x14ac:dyDescent="0.25">
      <c r="A93" s="3">
        <v>44231</v>
      </c>
      <c r="B93" s="4" t="s">
        <v>7</v>
      </c>
      <c r="C93" s="4" t="s">
        <v>37</v>
      </c>
      <c r="D93" s="5">
        <v>339</v>
      </c>
      <c r="E93" s="5">
        <f>Ventas[[#This Row],[Precio Dolares]]*20.5</f>
        <v>6949.5</v>
      </c>
      <c r="F93" t="s">
        <v>46</v>
      </c>
      <c r="G93" t="s">
        <v>54</v>
      </c>
      <c r="H93">
        <v>12</v>
      </c>
      <c r="I93" s="11">
        <f>Ventas[[#This Row],[Cantidad]]*Ventas[[#This Row],[Precio Pesos]]</f>
        <v>83394</v>
      </c>
    </row>
    <row r="94" spans="1:9" x14ac:dyDescent="0.25">
      <c r="A94" s="3">
        <v>44112</v>
      </c>
      <c r="B94" s="4" t="s">
        <v>15</v>
      </c>
      <c r="C94" s="4" t="s">
        <v>35</v>
      </c>
      <c r="D94" s="5">
        <v>855</v>
      </c>
      <c r="E94" s="5">
        <f>Ventas[[#This Row],[Precio Dolares]]*20.5</f>
        <v>17527.5</v>
      </c>
      <c r="F94" t="s">
        <v>46</v>
      </c>
      <c r="G94" t="s">
        <v>54</v>
      </c>
      <c r="H94">
        <v>6</v>
      </c>
      <c r="I94" s="11">
        <f>Ventas[[#This Row],[Cantidad]]*Ventas[[#This Row],[Precio Pesos]]</f>
        <v>105165</v>
      </c>
    </row>
    <row r="95" spans="1:9" x14ac:dyDescent="0.25">
      <c r="A95" s="3">
        <v>44136</v>
      </c>
      <c r="B95" s="4" t="s">
        <v>3</v>
      </c>
      <c r="C95" s="4" t="s">
        <v>37</v>
      </c>
      <c r="D95" s="5">
        <v>339</v>
      </c>
      <c r="E95" s="5">
        <f>Ventas[[#This Row],[Precio Dolares]]*20.5</f>
        <v>6949.5</v>
      </c>
      <c r="F95" t="s">
        <v>46</v>
      </c>
      <c r="G95" t="s">
        <v>54</v>
      </c>
      <c r="H95">
        <v>7</v>
      </c>
      <c r="I95" s="11">
        <f>Ventas[[#This Row],[Cantidad]]*Ventas[[#This Row],[Precio Pesos]]</f>
        <v>48646.5</v>
      </c>
    </row>
    <row r="96" spans="1:9" x14ac:dyDescent="0.25">
      <c r="A96" s="3">
        <v>44125</v>
      </c>
      <c r="B96" s="4" t="s">
        <v>15</v>
      </c>
      <c r="C96" s="4" t="s">
        <v>36</v>
      </c>
      <c r="D96" s="5">
        <v>249</v>
      </c>
      <c r="E96" s="5">
        <f>Ventas[[#This Row],[Precio Dolares]]*20.5</f>
        <v>5104.5</v>
      </c>
      <c r="F96" t="s">
        <v>46</v>
      </c>
      <c r="G96" t="s">
        <v>53</v>
      </c>
      <c r="H96">
        <v>20</v>
      </c>
      <c r="I96" s="11">
        <f>Ventas[[#This Row],[Cantidad]]*Ventas[[#This Row],[Precio Pesos]]</f>
        <v>102090</v>
      </c>
    </row>
    <row r="97" spans="1:9" x14ac:dyDescent="0.25">
      <c r="A97" s="3">
        <v>44230</v>
      </c>
      <c r="B97" s="4" t="s">
        <v>5</v>
      </c>
      <c r="C97" s="4" t="s">
        <v>36</v>
      </c>
      <c r="D97" s="5">
        <v>249</v>
      </c>
      <c r="E97" s="5">
        <f>Ventas[[#This Row],[Precio Dolares]]*20.5</f>
        <v>5104.5</v>
      </c>
      <c r="F97" t="s">
        <v>46</v>
      </c>
      <c r="G97" t="s">
        <v>53</v>
      </c>
      <c r="H97">
        <v>17</v>
      </c>
      <c r="I97" s="11">
        <f>Ventas[[#This Row],[Cantidad]]*Ventas[[#This Row],[Precio Pesos]]</f>
        <v>86776.5</v>
      </c>
    </row>
    <row r="98" spans="1:9" x14ac:dyDescent="0.25">
      <c r="A98" s="3">
        <v>44132</v>
      </c>
      <c r="B98" s="4" t="s">
        <v>5</v>
      </c>
      <c r="C98" s="4" t="s">
        <v>38</v>
      </c>
      <c r="D98" s="5">
        <v>299.55</v>
      </c>
      <c r="E98" s="5">
        <f>Ventas[[#This Row],[Precio Dolares]]*20.5</f>
        <v>6140.7750000000005</v>
      </c>
      <c r="F98" t="s">
        <v>46</v>
      </c>
      <c r="G98" t="s">
        <v>58</v>
      </c>
      <c r="H98">
        <v>10</v>
      </c>
      <c r="I98" s="11">
        <f>Ventas[[#This Row],[Cantidad]]*Ventas[[#This Row],[Precio Pesos]]</f>
        <v>61407.750000000007</v>
      </c>
    </row>
    <row r="99" spans="1:9" x14ac:dyDescent="0.25">
      <c r="A99" s="3">
        <v>44151</v>
      </c>
      <c r="B99" s="4" t="s">
        <v>7</v>
      </c>
      <c r="C99" s="4" t="s">
        <v>36</v>
      </c>
      <c r="D99" s="5">
        <v>249</v>
      </c>
      <c r="E99" s="5">
        <f>Ventas[[#This Row],[Precio Dolares]]*20.5</f>
        <v>5104.5</v>
      </c>
      <c r="F99" t="s">
        <v>46</v>
      </c>
      <c r="G99" t="s">
        <v>53</v>
      </c>
      <c r="H99">
        <v>8</v>
      </c>
      <c r="I99" s="11">
        <f>Ventas[[#This Row],[Cantidad]]*Ventas[[#This Row],[Precio Pesos]]</f>
        <v>40836</v>
      </c>
    </row>
    <row r="100" spans="1:9" x14ac:dyDescent="0.25">
      <c r="A100" s="3">
        <v>44276</v>
      </c>
      <c r="B100" s="4" t="s">
        <v>10</v>
      </c>
      <c r="C100" s="4" t="s">
        <v>39</v>
      </c>
      <c r="D100" s="5">
        <v>75.2</v>
      </c>
      <c r="E100" s="5">
        <f>Ventas[[#This Row],[Precio Dolares]]*20.5</f>
        <v>1541.6000000000001</v>
      </c>
      <c r="F100" t="s">
        <v>47</v>
      </c>
      <c r="G100" t="s">
        <v>55</v>
      </c>
      <c r="H100">
        <v>16</v>
      </c>
      <c r="I100" s="11">
        <f>Ventas[[#This Row],[Cantidad]]*Ventas[[#This Row],[Precio Pesos]]</f>
        <v>24665.600000000002</v>
      </c>
    </row>
    <row r="101" spans="1:9" x14ac:dyDescent="0.25">
      <c r="A101" s="3">
        <v>44202</v>
      </c>
      <c r="B101" s="4" t="s">
        <v>3</v>
      </c>
      <c r="C101" s="4" t="s">
        <v>39</v>
      </c>
      <c r="D101" s="5">
        <v>75.2</v>
      </c>
      <c r="E101" s="5">
        <f>Ventas[[#This Row],[Precio Dolares]]*20.5</f>
        <v>1541.6000000000001</v>
      </c>
      <c r="F101" t="s">
        <v>47</v>
      </c>
      <c r="G101" t="s">
        <v>55</v>
      </c>
      <c r="H101">
        <v>12</v>
      </c>
      <c r="I101" s="11">
        <f>Ventas[[#This Row],[Cantidad]]*Ventas[[#This Row],[Precio Pesos]]</f>
        <v>18499.2</v>
      </c>
    </row>
    <row r="102" spans="1:9" x14ac:dyDescent="0.25">
      <c r="A102" s="3">
        <v>44136</v>
      </c>
      <c r="B102" s="4" t="s">
        <v>10</v>
      </c>
      <c r="C102" s="4" t="s">
        <v>40</v>
      </c>
      <c r="D102" s="5">
        <v>170</v>
      </c>
      <c r="E102" s="5">
        <f>Ventas[[#This Row],[Precio Dolares]]*20.5</f>
        <v>3485</v>
      </c>
      <c r="F102" t="s">
        <v>47</v>
      </c>
      <c r="G102" t="s">
        <v>55</v>
      </c>
      <c r="H102">
        <v>3</v>
      </c>
      <c r="I102" s="11">
        <f>Ventas[[#This Row],[Cantidad]]*Ventas[[#This Row],[Precio Pesos]]</f>
        <v>10455</v>
      </c>
    </row>
    <row r="103" spans="1:9" x14ac:dyDescent="0.25">
      <c r="A103" s="3">
        <v>44199</v>
      </c>
      <c r="B103" s="4" t="s">
        <v>5</v>
      </c>
      <c r="C103" s="4" t="s">
        <v>39</v>
      </c>
      <c r="D103" s="5">
        <v>75.2</v>
      </c>
      <c r="E103" s="5">
        <f>Ventas[[#This Row],[Precio Dolares]]*20.5</f>
        <v>1541.6000000000001</v>
      </c>
      <c r="F103" t="s">
        <v>47</v>
      </c>
      <c r="G103" t="s">
        <v>55</v>
      </c>
      <c r="H103">
        <v>2</v>
      </c>
      <c r="I103" s="11">
        <f>Ventas[[#This Row],[Cantidad]]*Ventas[[#This Row],[Precio Pesos]]</f>
        <v>3083.2000000000003</v>
      </c>
    </row>
    <row r="104" spans="1:9" x14ac:dyDescent="0.25">
      <c r="A104" s="3">
        <v>44293</v>
      </c>
      <c r="B104" s="4" t="s">
        <v>3</v>
      </c>
      <c r="C104" s="4" t="s">
        <v>40</v>
      </c>
      <c r="D104" s="5">
        <v>170</v>
      </c>
      <c r="E104" s="5">
        <f>Ventas[[#This Row],[Precio Dolares]]*20.5</f>
        <v>3485</v>
      </c>
      <c r="F104" t="s">
        <v>47</v>
      </c>
      <c r="G104" t="s">
        <v>55</v>
      </c>
      <c r="H104">
        <v>20</v>
      </c>
      <c r="I104" s="11">
        <f>Ventas[[#This Row],[Cantidad]]*Ventas[[#This Row],[Precio Pesos]]</f>
        <v>69700</v>
      </c>
    </row>
    <row r="105" spans="1:9" x14ac:dyDescent="0.25">
      <c r="A105" s="3">
        <v>44205</v>
      </c>
      <c r="B105" s="4" t="s">
        <v>7</v>
      </c>
      <c r="C105" s="4" t="s">
        <v>9</v>
      </c>
      <c r="D105" s="5">
        <v>30</v>
      </c>
      <c r="E105" s="5">
        <f>Ventas[[#This Row],[Precio Dolares]]*20.5</f>
        <v>615</v>
      </c>
      <c r="F105" t="s">
        <v>47</v>
      </c>
      <c r="G105" t="s">
        <v>55</v>
      </c>
      <c r="H105">
        <v>19</v>
      </c>
      <c r="I105" s="11">
        <f>Ventas[[#This Row],[Cantidad]]*Ventas[[#This Row],[Precio Pesos]]</f>
        <v>11685</v>
      </c>
    </row>
    <row r="106" spans="1:9" x14ac:dyDescent="0.25">
      <c r="A106" s="3">
        <v>44101</v>
      </c>
      <c r="B106" s="4" t="s">
        <v>10</v>
      </c>
      <c r="C106" s="4" t="s">
        <v>41</v>
      </c>
      <c r="D106" s="5">
        <v>190</v>
      </c>
      <c r="E106" s="5">
        <f>Ventas[[#This Row],[Precio Dolares]]*20.5</f>
        <v>3895</v>
      </c>
      <c r="F106" t="s">
        <v>47</v>
      </c>
      <c r="G106" t="s">
        <v>55</v>
      </c>
      <c r="H106">
        <v>10</v>
      </c>
      <c r="I106" s="11">
        <f>Ventas[[#This Row],[Cantidad]]*Ventas[[#This Row],[Precio Pesos]]</f>
        <v>38950</v>
      </c>
    </row>
    <row r="107" spans="1:9" x14ac:dyDescent="0.25">
      <c r="A107" s="3">
        <v>44136</v>
      </c>
      <c r="B107" s="4" t="s">
        <v>10</v>
      </c>
      <c r="C107" s="4" t="s">
        <v>40</v>
      </c>
      <c r="D107" s="5">
        <v>170</v>
      </c>
      <c r="E107" s="5">
        <f>Ventas[[#This Row],[Precio Dolares]]*20.5</f>
        <v>3485</v>
      </c>
      <c r="F107" t="s">
        <v>47</v>
      </c>
      <c r="G107" t="s">
        <v>55</v>
      </c>
      <c r="H107">
        <v>14</v>
      </c>
      <c r="I107" s="11">
        <f>Ventas[[#This Row],[Cantidad]]*Ventas[[#This Row],[Precio Pesos]]</f>
        <v>48790</v>
      </c>
    </row>
    <row r="108" spans="1:9" x14ac:dyDescent="0.25">
      <c r="A108" s="3">
        <v>44136</v>
      </c>
      <c r="B108" s="4" t="s">
        <v>10</v>
      </c>
      <c r="C108" s="4" t="s">
        <v>40</v>
      </c>
      <c r="D108" s="5">
        <v>170</v>
      </c>
      <c r="E108" s="5">
        <f>Ventas[[#This Row],[Precio Dolares]]*20.5</f>
        <v>3485</v>
      </c>
      <c r="F108" t="s">
        <v>47</v>
      </c>
      <c r="G108" t="s">
        <v>55</v>
      </c>
      <c r="H108">
        <v>6</v>
      </c>
      <c r="I108" s="11">
        <f>Ventas[[#This Row],[Cantidad]]*Ventas[[#This Row],[Precio Pesos]]</f>
        <v>20910</v>
      </c>
    </row>
    <row r="109" spans="1:9" x14ac:dyDescent="0.25">
      <c r="A109" s="3">
        <v>44136</v>
      </c>
      <c r="B109" s="4" t="s">
        <v>10</v>
      </c>
      <c r="C109" s="4" t="s">
        <v>40</v>
      </c>
      <c r="D109" s="5">
        <v>170</v>
      </c>
      <c r="E109" s="5">
        <f>Ventas[[#This Row],[Precio Dolares]]*20.5</f>
        <v>3485</v>
      </c>
      <c r="F109" t="s">
        <v>47</v>
      </c>
      <c r="G109" t="s">
        <v>55</v>
      </c>
      <c r="H109">
        <v>13</v>
      </c>
      <c r="I109" s="11">
        <f>Ventas[[#This Row],[Cantidad]]*Ventas[[#This Row],[Precio Pesos]]</f>
        <v>45305</v>
      </c>
    </row>
    <row r="110" spans="1:9" x14ac:dyDescent="0.25">
      <c r="A110" s="3">
        <v>44293</v>
      </c>
      <c r="B110" s="4" t="s">
        <v>3</v>
      </c>
      <c r="C110" s="4" t="s">
        <v>40</v>
      </c>
      <c r="D110" s="5">
        <v>170</v>
      </c>
      <c r="E110" s="5">
        <f>Ventas[[#This Row],[Precio Dolares]]*20.5</f>
        <v>3485</v>
      </c>
      <c r="F110" t="s">
        <v>47</v>
      </c>
      <c r="G110" t="s">
        <v>55</v>
      </c>
      <c r="H110">
        <v>15</v>
      </c>
      <c r="I110" s="11">
        <f>Ventas[[#This Row],[Cantidad]]*Ventas[[#This Row],[Precio Pesos]]</f>
        <v>52275</v>
      </c>
    </row>
    <row r="111" spans="1:9" x14ac:dyDescent="0.25">
      <c r="A111" s="3">
        <v>44306</v>
      </c>
      <c r="B111" s="4" t="s">
        <v>3</v>
      </c>
      <c r="C111" s="4" t="s">
        <v>40</v>
      </c>
      <c r="D111" s="5">
        <v>170</v>
      </c>
      <c r="E111" s="5">
        <f>Ventas[[#This Row],[Precio Dolares]]*20.5</f>
        <v>3485</v>
      </c>
      <c r="F111" t="s">
        <v>47</v>
      </c>
      <c r="G111" t="s">
        <v>55</v>
      </c>
      <c r="H111">
        <v>13</v>
      </c>
      <c r="I111" s="11">
        <f>Ventas[[#This Row],[Cantidad]]*Ventas[[#This Row],[Precio Pesos]]</f>
        <v>45305</v>
      </c>
    </row>
    <row r="112" spans="1:9" x14ac:dyDescent="0.25">
      <c r="A112" s="3">
        <v>44186</v>
      </c>
      <c r="B112" s="4" t="s">
        <v>3</v>
      </c>
      <c r="C112" s="4" t="s">
        <v>40</v>
      </c>
      <c r="D112" s="5">
        <v>170</v>
      </c>
      <c r="E112" s="5">
        <f>Ventas[[#This Row],[Precio Dolares]]*20.5</f>
        <v>3485</v>
      </c>
      <c r="F112" t="s">
        <v>47</v>
      </c>
      <c r="G112" t="s">
        <v>55</v>
      </c>
      <c r="H112">
        <v>3</v>
      </c>
      <c r="I112" s="11">
        <f>Ventas[[#This Row],[Cantidad]]*Ventas[[#This Row],[Precio Pesos]]</f>
        <v>10455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8"/>
  <sheetViews>
    <sheetView tabSelected="1" topLeftCell="B22" zoomScale="170" zoomScaleNormal="170" workbookViewId="0">
      <selection activeCell="D36" sqref="D36"/>
    </sheetView>
  </sheetViews>
  <sheetFormatPr baseColWidth="10" defaultRowHeight="15" x14ac:dyDescent="0.25"/>
  <cols>
    <col min="2" max="2" width="17.5703125" customWidth="1"/>
    <col min="3" max="3" width="23.42578125" customWidth="1"/>
    <col min="4" max="4" width="14.85546875" customWidth="1"/>
    <col min="5" max="7" width="13.28515625" customWidth="1"/>
    <col min="8" max="9" width="12.140625" customWidth="1"/>
    <col min="10" max="10" width="14.85546875" bestFit="1" customWidth="1"/>
  </cols>
  <sheetData>
    <row r="2" spans="2:3" x14ac:dyDescent="0.25">
      <c r="B2" s="13" t="s">
        <v>62</v>
      </c>
      <c r="C2" t="s">
        <v>61</v>
      </c>
    </row>
    <row r="3" spans="2:3" x14ac:dyDescent="0.25">
      <c r="B3" s="14" t="s">
        <v>64</v>
      </c>
      <c r="C3" s="15"/>
    </row>
    <row r="4" spans="2:3" x14ac:dyDescent="0.25">
      <c r="B4" s="17" t="s">
        <v>55</v>
      </c>
      <c r="C4" s="15">
        <v>210043</v>
      </c>
    </row>
    <row r="5" spans="2:3" x14ac:dyDescent="0.25">
      <c r="B5" s="17" t="s">
        <v>54</v>
      </c>
      <c r="C5" s="15">
        <v>2426839.2000000002</v>
      </c>
    </row>
    <row r="6" spans="2:3" x14ac:dyDescent="0.25">
      <c r="B6" s="17" t="s">
        <v>57</v>
      </c>
      <c r="C6" s="15">
        <v>221441</v>
      </c>
    </row>
    <row r="7" spans="2:3" x14ac:dyDescent="0.25">
      <c r="B7" s="17" t="s">
        <v>53</v>
      </c>
      <c r="C7" s="15">
        <v>409364.5</v>
      </c>
    </row>
    <row r="8" spans="2:3" x14ac:dyDescent="0.25">
      <c r="B8" s="17" t="s">
        <v>52</v>
      </c>
      <c r="C8" s="15">
        <v>58261</v>
      </c>
    </row>
    <row r="9" spans="2:3" x14ac:dyDescent="0.25">
      <c r="B9" s="17" t="s">
        <v>58</v>
      </c>
      <c r="C9" s="15">
        <v>61407.750000000007</v>
      </c>
    </row>
    <row r="10" spans="2:3" x14ac:dyDescent="0.25">
      <c r="B10" s="17" t="s">
        <v>56</v>
      </c>
      <c r="C10" s="15">
        <v>37023.000000000007</v>
      </c>
    </row>
    <row r="11" spans="2:3" x14ac:dyDescent="0.25">
      <c r="B11" s="14" t="s">
        <v>65</v>
      </c>
      <c r="C11" s="15"/>
    </row>
    <row r="12" spans="2:3" x14ac:dyDescent="0.25">
      <c r="B12" s="17" t="s">
        <v>55</v>
      </c>
      <c r="C12" s="15">
        <v>245079.55</v>
      </c>
    </row>
    <row r="13" spans="2:3" x14ac:dyDescent="0.25">
      <c r="B13" s="17" t="s">
        <v>54</v>
      </c>
      <c r="C13" s="15">
        <v>1937143.4</v>
      </c>
    </row>
    <row r="14" spans="2:3" x14ac:dyDescent="0.25">
      <c r="B14" s="17" t="s">
        <v>57</v>
      </c>
      <c r="C14" s="15">
        <v>38257.100000000006</v>
      </c>
    </row>
    <row r="15" spans="2:3" x14ac:dyDescent="0.25">
      <c r="B15" s="17" t="s">
        <v>53</v>
      </c>
      <c r="C15" s="15">
        <v>319431</v>
      </c>
    </row>
    <row r="16" spans="2:3" x14ac:dyDescent="0.25">
      <c r="B16" s="17" t="s">
        <v>52</v>
      </c>
      <c r="C16" s="15">
        <v>168061.05</v>
      </c>
    </row>
    <row r="17" spans="2:10" x14ac:dyDescent="0.25">
      <c r="B17" s="17" t="s">
        <v>56</v>
      </c>
      <c r="C17" s="15">
        <v>27265</v>
      </c>
    </row>
    <row r="19" spans="2:10" x14ac:dyDescent="0.25">
      <c r="B19" s="13" t="s">
        <v>62</v>
      </c>
    </row>
    <row r="20" spans="2:10" x14ac:dyDescent="0.25">
      <c r="B20" s="14" t="s">
        <v>64</v>
      </c>
    </row>
    <row r="21" spans="2:10" x14ac:dyDescent="0.25">
      <c r="B21" s="14" t="s">
        <v>65</v>
      </c>
    </row>
    <row r="22" spans="2:10" x14ac:dyDescent="0.25">
      <c r="B22" s="14" t="s">
        <v>63</v>
      </c>
    </row>
    <row r="24" spans="2:10" x14ac:dyDescent="0.25">
      <c r="B24" s="13" t="s">
        <v>61</v>
      </c>
      <c r="C24" s="13" t="s">
        <v>68</v>
      </c>
    </row>
    <row r="25" spans="2:10" x14ac:dyDescent="0.25">
      <c r="B25" s="13" t="s">
        <v>62</v>
      </c>
      <c r="C25" t="s">
        <v>55</v>
      </c>
      <c r="D25" t="s">
        <v>54</v>
      </c>
      <c r="E25" t="s">
        <v>57</v>
      </c>
      <c r="F25" t="s">
        <v>53</v>
      </c>
      <c r="G25" t="s">
        <v>52</v>
      </c>
      <c r="H25" t="s">
        <v>58</v>
      </c>
      <c r="I25" t="s">
        <v>56</v>
      </c>
      <c r="J25" t="s">
        <v>63</v>
      </c>
    </row>
    <row r="26" spans="2:10" x14ac:dyDescent="0.25">
      <c r="B26" s="14" t="s">
        <v>15</v>
      </c>
      <c r="C26" s="15">
        <v>5688.75</v>
      </c>
      <c r="D26" s="15">
        <v>1370425</v>
      </c>
      <c r="E26" s="15"/>
      <c r="F26" s="15">
        <v>323305.5</v>
      </c>
      <c r="G26" s="15">
        <v>33620</v>
      </c>
      <c r="H26" s="15"/>
      <c r="I26" s="15"/>
      <c r="J26" s="15">
        <v>1733039.25</v>
      </c>
    </row>
    <row r="27" spans="2:10" x14ac:dyDescent="0.25">
      <c r="B27" s="14" t="s">
        <v>7</v>
      </c>
      <c r="C27" s="15">
        <v>11685</v>
      </c>
      <c r="D27" s="15">
        <v>856559.7</v>
      </c>
      <c r="E27" s="15">
        <v>106056.75</v>
      </c>
      <c r="F27" s="15">
        <v>108486</v>
      </c>
      <c r="G27" s="15">
        <v>32308</v>
      </c>
      <c r="H27" s="15"/>
      <c r="I27" s="15"/>
      <c r="J27" s="15">
        <v>1115095.45</v>
      </c>
    </row>
    <row r="28" spans="2:10" x14ac:dyDescent="0.25">
      <c r="B28" s="14" t="s">
        <v>3</v>
      </c>
      <c r="C28" s="15">
        <v>196234.2</v>
      </c>
      <c r="D28" s="15">
        <v>397618</v>
      </c>
      <c r="E28" s="15">
        <v>11992.5</v>
      </c>
      <c r="F28" s="15">
        <v>80770</v>
      </c>
      <c r="G28" s="15">
        <v>82336.2</v>
      </c>
      <c r="H28" s="15"/>
      <c r="I28" s="15">
        <v>27265</v>
      </c>
      <c r="J28" s="15">
        <v>796215.89999999991</v>
      </c>
    </row>
    <row r="29" spans="2:10" x14ac:dyDescent="0.25">
      <c r="B29" s="14" t="s">
        <v>5</v>
      </c>
      <c r="C29" s="15">
        <v>35760.199999999997</v>
      </c>
      <c r="D29" s="15">
        <v>593302.80000000005</v>
      </c>
      <c r="E29" s="15">
        <v>18511.500000000004</v>
      </c>
      <c r="F29" s="15">
        <v>151659</v>
      </c>
      <c r="G29" s="15">
        <v>45059</v>
      </c>
      <c r="H29" s="15">
        <v>61407.750000000007</v>
      </c>
      <c r="I29" s="15">
        <v>37023.000000000007</v>
      </c>
      <c r="J29" s="15">
        <v>942723.25</v>
      </c>
    </row>
    <row r="30" spans="2:10" x14ac:dyDescent="0.25">
      <c r="B30" s="14" t="s">
        <v>10</v>
      </c>
      <c r="C30" s="15">
        <v>205754.4</v>
      </c>
      <c r="D30" s="15">
        <v>1146077.1000000001</v>
      </c>
      <c r="E30" s="15">
        <v>123137.35</v>
      </c>
      <c r="F30" s="15">
        <v>64575</v>
      </c>
      <c r="G30" s="15">
        <v>32998.85</v>
      </c>
      <c r="H30" s="15"/>
      <c r="I30" s="15"/>
      <c r="J30" s="15">
        <v>1572542.7000000002</v>
      </c>
    </row>
    <row r="31" spans="2:10" x14ac:dyDescent="0.25">
      <c r="B31" s="14" t="s">
        <v>63</v>
      </c>
      <c r="C31" s="15">
        <v>455122.55000000005</v>
      </c>
      <c r="D31" s="15">
        <v>4363982.5999999996</v>
      </c>
      <c r="E31" s="15">
        <v>259698.1</v>
      </c>
      <c r="F31" s="15">
        <v>728795.5</v>
      </c>
      <c r="G31" s="15">
        <v>226322.05000000002</v>
      </c>
      <c r="H31" s="15">
        <v>61407.750000000007</v>
      </c>
      <c r="I31" s="15">
        <v>64288.000000000007</v>
      </c>
      <c r="J31" s="15">
        <v>6159616.5499999998</v>
      </c>
    </row>
    <row r="33" spans="2:3" x14ac:dyDescent="0.25">
      <c r="B33" s="13" t="s">
        <v>62</v>
      </c>
      <c r="C33" t="s">
        <v>61</v>
      </c>
    </row>
    <row r="34" spans="2:3" x14ac:dyDescent="0.25">
      <c r="B34" s="14" t="s">
        <v>64</v>
      </c>
      <c r="C34" s="11">
        <v>3424379.45</v>
      </c>
    </row>
    <row r="35" spans="2:3" x14ac:dyDescent="0.25">
      <c r="B35" s="14" t="s">
        <v>65</v>
      </c>
      <c r="C35" s="11">
        <v>2735237.1000000006</v>
      </c>
    </row>
    <row r="36" spans="2:3" x14ac:dyDescent="0.25">
      <c r="B36" s="14" t="s">
        <v>63</v>
      </c>
      <c r="C36" s="11">
        <v>6159616.5500000007</v>
      </c>
    </row>
    <row r="37" spans="2:3" x14ac:dyDescent="0.25">
      <c r="B37" s="18">
        <v>2020</v>
      </c>
      <c r="C37" s="19">
        <v>2021</v>
      </c>
    </row>
    <row r="38" spans="2:3" x14ac:dyDescent="0.25">
      <c r="B38" s="20">
        <f>GETPIVOTDATA("Venta Realizada",$B$33,"Años",2020)/GETPIVOTDATA("Venta Realizada",$B$33)</f>
        <v>0.55594036125511737</v>
      </c>
      <c r="C38" s="20">
        <f>GETPIVOTDATA("Venta Realizada",$B$33,"Años",2021)/GETPIVOTDATA("Venta Realizada",$B$33)</f>
        <v>0.44405963874488263</v>
      </c>
    </row>
  </sheetData>
  <pageMargins left="0.7" right="0.7" top="0.75" bottom="0.75" header="0.3" footer="0.3"/>
  <pageSetup paperSize="9" orientation="portrait" horizontalDpi="0" verticalDpi="0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7:K31"/>
  <sheetViews>
    <sheetView showGridLines="0" showRowColHeaders="0" workbookViewId="0">
      <selection activeCell="R30" sqref="R30"/>
    </sheetView>
  </sheetViews>
  <sheetFormatPr baseColWidth="10" defaultRowHeight="15" x14ac:dyDescent="0.25"/>
  <cols>
    <col min="1" max="2" width="11.42578125" style="16" customWidth="1"/>
    <col min="3" max="8" width="11.42578125" style="16"/>
    <col min="9" max="9" width="12.140625" style="16" customWidth="1"/>
    <col min="10" max="10" width="15.85546875" style="16" bestFit="1" customWidth="1"/>
    <col min="11" max="11" width="16.85546875" style="16" bestFit="1" customWidth="1"/>
    <col min="12" max="12" width="16.85546875" style="16" customWidth="1"/>
    <col min="13" max="16384" width="11.42578125" style="16"/>
  </cols>
  <sheetData>
    <row r="7" spans="10:11" ht="18" customHeight="1" x14ac:dyDescent="0.25"/>
    <row r="8" spans="10:11" x14ac:dyDescent="0.25">
      <c r="J8" s="13" t="s">
        <v>66</v>
      </c>
      <c r="K8" t="s">
        <v>67</v>
      </c>
    </row>
    <row r="9" spans="10:11" x14ac:dyDescent="0.25">
      <c r="J9" s="14" t="s">
        <v>55</v>
      </c>
      <c r="K9" s="15">
        <v>455122.55</v>
      </c>
    </row>
    <row r="10" spans="10:11" x14ac:dyDescent="0.25">
      <c r="J10" s="17" t="s">
        <v>45</v>
      </c>
      <c r="K10" s="15">
        <v>40899.550000000003</v>
      </c>
    </row>
    <row r="11" spans="10:11" x14ac:dyDescent="0.25">
      <c r="J11" s="17" t="s">
        <v>47</v>
      </c>
      <c r="K11" s="15">
        <v>414223</v>
      </c>
    </row>
    <row r="12" spans="10:11" x14ac:dyDescent="0.25">
      <c r="J12" s="14" t="s">
        <v>54</v>
      </c>
      <c r="K12" s="15">
        <v>4363982.5999999996</v>
      </c>
    </row>
    <row r="13" spans="10:11" x14ac:dyDescent="0.25">
      <c r="J13" s="17" t="s">
        <v>49</v>
      </c>
      <c r="K13" s="15">
        <v>31365</v>
      </c>
    </row>
    <row r="14" spans="10:11" x14ac:dyDescent="0.25">
      <c r="J14" s="17" t="s">
        <v>46</v>
      </c>
      <c r="K14" s="15">
        <v>1019854.5</v>
      </c>
    </row>
    <row r="15" spans="10:11" x14ac:dyDescent="0.25">
      <c r="J15" s="17" t="s">
        <v>50</v>
      </c>
      <c r="K15" s="15">
        <v>1274895</v>
      </c>
    </row>
    <row r="16" spans="10:11" x14ac:dyDescent="0.25">
      <c r="J16" s="17" t="s">
        <v>45</v>
      </c>
      <c r="K16" s="15">
        <v>2037868.1</v>
      </c>
    </row>
    <row r="17" spans="10:11" x14ac:dyDescent="0.25">
      <c r="J17" s="14" t="s">
        <v>57</v>
      </c>
      <c r="K17" s="15">
        <v>259698.1</v>
      </c>
    </row>
    <row r="18" spans="10:11" x14ac:dyDescent="0.25">
      <c r="J18" s="17" t="s">
        <v>50</v>
      </c>
      <c r="K18" s="15">
        <v>14657.5</v>
      </c>
    </row>
    <row r="19" spans="10:11" x14ac:dyDescent="0.25">
      <c r="J19" s="17" t="s">
        <v>45</v>
      </c>
      <c r="K19" s="15">
        <v>245040.6</v>
      </c>
    </row>
    <row r="20" spans="10:11" x14ac:dyDescent="0.25">
      <c r="J20" s="14" t="s">
        <v>53</v>
      </c>
      <c r="K20" s="15">
        <v>728795.5</v>
      </c>
    </row>
    <row r="21" spans="10:11" x14ac:dyDescent="0.25">
      <c r="J21" s="17" t="s">
        <v>50</v>
      </c>
      <c r="K21" s="15">
        <v>267525</v>
      </c>
    </row>
    <row r="22" spans="10:11" x14ac:dyDescent="0.25">
      <c r="J22" s="17" t="s">
        <v>46</v>
      </c>
      <c r="K22" s="15">
        <v>461270.5</v>
      </c>
    </row>
    <row r="23" spans="10:11" x14ac:dyDescent="0.25">
      <c r="J23" s="14" t="s">
        <v>52</v>
      </c>
      <c r="K23" s="15">
        <v>226322.05</v>
      </c>
    </row>
    <row r="24" spans="10:11" x14ac:dyDescent="0.25">
      <c r="J24" s="17" t="s">
        <v>49</v>
      </c>
      <c r="K24" s="15">
        <v>50380.800000000003</v>
      </c>
    </row>
    <row r="25" spans="10:11" x14ac:dyDescent="0.25">
      <c r="J25" s="17" t="s">
        <v>48</v>
      </c>
      <c r="K25" s="15">
        <v>71534.75</v>
      </c>
    </row>
    <row r="26" spans="10:11" x14ac:dyDescent="0.25">
      <c r="J26" s="17" t="s">
        <v>45</v>
      </c>
      <c r="K26" s="15">
        <v>104406.5</v>
      </c>
    </row>
    <row r="27" spans="10:11" x14ac:dyDescent="0.25">
      <c r="J27" s="14" t="s">
        <v>58</v>
      </c>
      <c r="K27" s="15">
        <v>61407.750000000007</v>
      </c>
    </row>
    <row r="28" spans="10:11" x14ac:dyDescent="0.25">
      <c r="J28" s="17" t="s">
        <v>46</v>
      </c>
      <c r="K28" s="15">
        <v>61407.750000000007</v>
      </c>
    </row>
    <row r="29" spans="10:11" x14ac:dyDescent="0.25">
      <c r="J29" s="14" t="s">
        <v>56</v>
      </c>
      <c r="K29" s="15">
        <v>64288.000000000007</v>
      </c>
    </row>
    <row r="30" spans="10:11" x14ac:dyDescent="0.25">
      <c r="J30" s="17" t="s">
        <v>49</v>
      </c>
      <c r="K30" s="15">
        <v>64288.000000000007</v>
      </c>
    </row>
    <row r="31" spans="10:11" x14ac:dyDescent="0.25">
      <c r="J31" s="14" t="s">
        <v>63</v>
      </c>
      <c r="K31" s="15">
        <v>6159616.5499999998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BaseDatos</vt:lpstr>
      <vt:lpstr>TablasDinamicas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BUSTAMANTE</dc:creator>
  <cp:lastModifiedBy>BUSTAMANTE</cp:lastModifiedBy>
  <dcterms:created xsi:type="dcterms:W3CDTF">2021-10-19T21:30:13Z</dcterms:created>
  <dcterms:modified xsi:type="dcterms:W3CDTF">2021-10-22T00:01:18Z</dcterms:modified>
</cp:coreProperties>
</file>