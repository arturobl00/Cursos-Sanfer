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/>
  </bookViews>
  <sheets>
    <sheet name="Hoja1" sheetId="1" r:id="rId1"/>
  </sheets>
  <definedNames>
    <definedName name="_xlnm._FilterDatabase" localSheetId="0" hidden="1">Hoja1!$A$27:$J$40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H40" i="1"/>
  <c r="G40" i="1"/>
  <c r="F40" i="1"/>
  <c r="E40" i="1"/>
  <c r="D40" i="1"/>
  <c r="I39" i="1"/>
  <c r="H39" i="1"/>
  <c r="G39" i="1"/>
  <c r="F39" i="1"/>
  <c r="E39" i="1"/>
  <c r="D39" i="1"/>
  <c r="I38" i="1"/>
  <c r="H38" i="1"/>
  <c r="G38" i="1"/>
  <c r="F38" i="1"/>
  <c r="E38" i="1"/>
  <c r="D38" i="1"/>
  <c r="I37" i="1"/>
  <c r="H37" i="1"/>
  <c r="G37" i="1"/>
  <c r="F37" i="1"/>
  <c r="E37" i="1"/>
  <c r="D37" i="1"/>
  <c r="I36" i="1"/>
  <c r="H36" i="1"/>
  <c r="G36" i="1"/>
  <c r="F36" i="1"/>
  <c r="E36" i="1"/>
  <c r="D36" i="1"/>
  <c r="I35" i="1"/>
  <c r="H35" i="1"/>
  <c r="G35" i="1"/>
  <c r="F35" i="1"/>
  <c r="E35" i="1"/>
  <c r="D35" i="1"/>
  <c r="I34" i="1"/>
  <c r="H34" i="1"/>
  <c r="G34" i="1"/>
  <c r="F34" i="1"/>
  <c r="E34" i="1"/>
  <c r="D34" i="1"/>
  <c r="I33" i="1"/>
  <c r="H33" i="1"/>
  <c r="G33" i="1"/>
  <c r="F33" i="1"/>
  <c r="E33" i="1"/>
  <c r="D33" i="1"/>
  <c r="I32" i="1"/>
  <c r="H32" i="1"/>
  <c r="G32" i="1"/>
  <c r="F32" i="1"/>
  <c r="E32" i="1"/>
  <c r="D32" i="1"/>
  <c r="I31" i="1"/>
  <c r="H31" i="1"/>
  <c r="G31" i="1"/>
  <c r="F31" i="1"/>
  <c r="E31" i="1"/>
  <c r="D31" i="1"/>
  <c r="I30" i="1"/>
  <c r="H30" i="1"/>
  <c r="G30" i="1"/>
  <c r="F30" i="1"/>
  <c r="E30" i="1"/>
  <c r="D30" i="1"/>
  <c r="I29" i="1"/>
  <c r="H29" i="1"/>
  <c r="G29" i="1"/>
  <c r="F29" i="1"/>
  <c r="E29" i="1"/>
  <c r="D29" i="1"/>
  <c r="I28" i="1"/>
  <c r="H28" i="1"/>
  <c r="G28" i="1"/>
  <c r="F28" i="1"/>
  <c r="E28" i="1"/>
  <c r="D28" i="1"/>
  <c r="J20" i="1" l="1"/>
  <c r="J13" i="1"/>
  <c r="J18" i="1"/>
  <c r="J17" i="1"/>
  <c r="J19" i="1"/>
  <c r="J16" i="1"/>
  <c r="J15" i="1"/>
  <c r="J24" i="1"/>
  <c r="J14" i="1"/>
  <c r="J11" i="1"/>
  <c r="J10" i="1"/>
  <c r="J23" i="1"/>
  <c r="J22" i="1"/>
  <c r="J12" i="1"/>
  <c r="J21" i="1"/>
  <c r="J31" i="1"/>
  <c r="J36" i="1"/>
  <c r="J39" i="1"/>
  <c r="J30" i="1"/>
  <c r="J38" i="1"/>
  <c r="J29" i="1"/>
  <c r="J33" i="1"/>
  <c r="J34" i="1"/>
  <c r="J35" i="1"/>
  <c r="J37" i="1"/>
  <c r="J28" i="1"/>
  <c r="J32" i="1"/>
  <c r="J40" i="1"/>
</calcChain>
</file>

<file path=xl/sharedStrings.xml><?xml version="1.0" encoding="utf-8"?>
<sst xmlns="http://schemas.openxmlformats.org/spreadsheetml/2006/main" count="81" uniqueCount="35">
  <si>
    <t>Bloque 1 - Tablas en Excel</t>
  </si>
  <si>
    <t>No</t>
  </si>
  <si>
    <t>Nombre</t>
  </si>
  <si>
    <t>Enero</t>
  </si>
  <si>
    <t>Febrero</t>
  </si>
  <si>
    <t>Marzo</t>
  </si>
  <si>
    <t>Abril</t>
  </si>
  <si>
    <t>Mayo</t>
  </si>
  <si>
    <t>Junio</t>
  </si>
  <si>
    <t>Operación</t>
  </si>
  <si>
    <t>Diana</t>
  </si>
  <si>
    <t>María</t>
  </si>
  <si>
    <t>Elena</t>
  </si>
  <si>
    <t>Veronica</t>
  </si>
  <si>
    <t>Natalia</t>
  </si>
  <si>
    <t>Claudia</t>
  </si>
  <si>
    <t>Juan</t>
  </si>
  <si>
    <t>Olivia</t>
  </si>
  <si>
    <t>Raul</t>
  </si>
  <si>
    <t>Jair</t>
  </si>
  <si>
    <t>Javier</t>
  </si>
  <si>
    <t>Hipolito</t>
  </si>
  <si>
    <t>Arturo</t>
  </si>
  <si>
    <t>Contado</t>
  </si>
  <si>
    <t>Credito</t>
  </si>
  <si>
    <t>Requisitos para crear una tabla</t>
  </si>
  <si>
    <t>1.- Tener dentro de la colección de datos encabezados</t>
  </si>
  <si>
    <t>2.- Debajo del encabezado datos homogenios</t>
  </si>
  <si>
    <t>3.- Evitar Filas en blanco</t>
  </si>
  <si>
    <t>Pedro</t>
  </si>
  <si>
    <t>Ana</t>
  </si>
  <si>
    <t>Promedio</t>
  </si>
  <si>
    <t>Credito A</t>
  </si>
  <si>
    <t>Credito B</t>
  </si>
  <si>
    <t>Credito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</si>
</sst>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 style="thin">
        <color theme="7" tint="0.39997558519241921"/>
      </left>
      <right/>
      <top/>
      <bottom/>
      <diagonal/>
    </border>
    <border>
      <left style="thin">
        <color theme="0"/>
      </left>
      <right/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ck">
        <color theme="0"/>
      </top>
      <bottom/>
      <diagonal/>
    </border>
    <border>
      <left style="thin">
        <color theme="7" tint="0.3999755851924192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0" fillId="4" borderId="2" xfId="0" applyFont="1" applyFill="1" applyBorder="1"/>
    <xf numFmtId="44" fontId="0" fillId="0" borderId="0" xfId="0" applyNumberFormat="1"/>
    <xf numFmtId="44" fontId="0" fillId="0" borderId="0" xfId="1" applyFont="1"/>
    <xf numFmtId="0" fontId="2" fillId="3" borderId="3" xfId="0" applyFont="1" applyFill="1" applyBorder="1"/>
    <xf numFmtId="0" fontId="0" fillId="4" borderId="3" xfId="0" applyFont="1" applyFill="1" applyBorder="1"/>
    <xf numFmtId="0" fontId="2" fillId="3" borderId="5" xfId="0" applyFont="1" applyFill="1" applyBorder="1"/>
    <xf numFmtId="0" fontId="2" fillId="3" borderId="4" xfId="0" applyFont="1" applyFill="1" applyBorder="1"/>
    <xf numFmtId="0" fontId="0" fillId="4" borderId="5" xfId="0" applyFont="1" applyFill="1" applyBorder="1"/>
    <xf numFmtId="44" fontId="0" fillId="4" borderId="5" xfId="1" applyNumberFormat="1" applyFont="1" applyFill="1" applyBorder="1"/>
    <xf numFmtId="44" fontId="0" fillId="5" borderId="6" xfId="0" applyNumberFormat="1" applyFont="1" applyFill="1" applyBorder="1"/>
    <xf numFmtId="0" fontId="0" fillId="2" borderId="3" xfId="0" applyFont="1" applyFill="1" applyBorder="1"/>
    <xf numFmtId="0" fontId="0" fillId="2" borderId="5" xfId="0" applyFont="1" applyFill="1" applyBorder="1"/>
    <xf numFmtId="44" fontId="0" fillId="2" borderId="5" xfId="1" applyNumberFormat="1" applyFont="1" applyFill="1" applyBorder="1"/>
    <xf numFmtId="44" fontId="0" fillId="2" borderId="7" xfId="0" applyNumberFormat="1" applyFont="1" applyFill="1" applyBorder="1"/>
    <xf numFmtId="44" fontId="0" fillId="5" borderId="7" xfId="0" applyNumberFormat="1" applyFont="1" applyFill="1" applyBorder="1"/>
    <xf numFmtId="0" fontId="0" fillId="4" borderId="8" xfId="0" applyFont="1" applyFill="1" applyBorder="1"/>
    <xf numFmtId="44" fontId="0" fillId="4" borderId="8" xfId="1" applyNumberFormat="1" applyFont="1" applyFill="1" applyBorder="1"/>
  </cellXfs>
  <cellStyles count="2">
    <cellStyle name="Moneda" xfId="1" builtinId="4"/>
    <cellStyle name="Normal" xfId="0" builtinId="0"/>
  </cellStyles>
  <dxfs count="8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9:J24">
  <autoFilter ref="A9:J24"/>
  <tableColumns count="10">
    <tableColumn id="1" name="No" totalsRowLabel="Total"/>
    <tableColumn id="2" name="Nombre"/>
    <tableColumn id="3" name="Operación"/>
    <tableColumn id="4" name="Enero" totalsRowFunction="sum" totalsRowDxfId="0" dataCellStyle="Moneda"/>
    <tableColumn id="5" name="Febrero" totalsRowFunction="sum" totalsRowDxfId="1" dataCellStyle="Moneda"/>
    <tableColumn id="6" name="Marzo" totalsRowFunction="sum" totalsRowDxfId="2" dataCellStyle="Moneda"/>
    <tableColumn id="7" name="Abril" totalsRowFunction="sum" totalsRowDxfId="3" dataCellStyle="Moneda"/>
    <tableColumn id="8" name="Mayo" totalsRowFunction="sum" totalsRowDxfId="4" dataCellStyle="Moneda"/>
    <tableColumn id="9" name="Junio" totalsRowFunction="sum" totalsRowDxfId="5" dataCellStyle="Moneda"/>
    <tableColumn id="10" name="Promedio" totalsRowFunction="sum" dataDxfId="7" totalsRowDxfId="6" dataCellStyle="Moneda">
      <calculatedColumnFormula>AVERAGE(Tabla1[[#This Row],[Enero]:[Junio]])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topLeftCell="A7" zoomScale="196" zoomScaleNormal="196" workbookViewId="0">
      <selection activeCell="D23" sqref="D23"/>
    </sheetView>
  </sheetViews>
  <sheetFormatPr baseColWidth="10" defaultRowHeight="15" x14ac:dyDescent="0.25"/>
  <cols>
    <col min="4" max="9" width="13.140625" bestFit="1" customWidth="1"/>
    <col min="10" max="10" width="12" bestFit="1" customWidth="1"/>
  </cols>
  <sheetData>
    <row r="1" spans="1:10" x14ac:dyDescent="0.25">
      <c r="A1" s="1" t="s">
        <v>0</v>
      </c>
      <c r="B1" s="1"/>
      <c r="C1" s="1"/>
      <c r="D1" s="1"/>
      <c r="E1" s="1"/>
      <c r="F1" s="1"/>
    </row>
    <row r="2" spans="1:10" x14ac:dyDescent="0.25">
      <c r="A2" s="1"/>
      <c r="B2" s="1"/>
      <c r="C2" s="1"/>
      <c r="D2" s="1"/>
      <c r="E2" s="1"/>
      <c r="F2" s="1"/>
    </row>
    <row r="3" spans="1:10" ht="20.25" customHeight="1" x14ac:dyDescent="0.25">
      <c r="A3" s="2" t="s">
        <v>25</v>
      </c>
      <c r="B3" s="2"/>
      <c r="C3" s="2"/>
      <c r="D3" s="2"/>
      <c r="E3" s="2"/>
      <c r="F3" s="2"/>
    </row>
    <row r="4" spans="1:10" x14ac:dyDescent="0.25">
      <c r="A4" s="2" t="s">
        <v>26</v>
      </c>
      <c r="B4" s="2"/>
      <c r="C4" s="2"/>
      <c r="D4" s="2"/>
      <c r="E4" s="2"/>
      <c r="F4" s="2"/>
    </row>
    <row r="5" spans="1:10" x14ac:dyDescent="0.25">
      <c r="A5" s="2" t="s">
        <v>27</v>
      </c>
      <c r="B5" s="2"/>
      <c r="C5" s="2"/>
      <c r="D5" s="2"/>
      <c r="E5" s="2"/>
      <c r="F5" s="2"/>
    </row>
    <row r="6" spans="1:10" x14ac:dyDescent="0.25">
      <c r="A6" s="2" t="s">
        <v>28</v>
      </c>
      <c r="B6" s="2"/>
      <c r="C6" s="2"/>
      <c r="D6" s="2"/>
      <c r="E6" s="2"/>
      <c r="F6" s="2"/>
    </row>
    <row r="7" spans="1:10" ht="20.25" customHeight="1" x14ac:dyDescent="0.25">
      <c r="A7" s="2"/>
      <c r="B7" s="2"/>
      <c r="C7" s="2"/>
      <c r="D7" s="2"/>
      <c r="E7" s="2"/>
      <c r="F7" s="2"/>
    </row>
    <row r="9" spans="1:10" x14ac:dyDescent="0.25">
      <c r="A9" t="s">
        <v>1</v>
      </c>
      <c r="B9" t="s">
        <v>2</v>
      </c>
      <c r="C9" t="s">
        <v>9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31</v>
      </c>
    </row>
    <row r="10" spans="1:10" x14ac:dyDescent="0.25">
      <c r="A10">
        <v>1</v>
      </c>
      <c r="B10" t="s">
        <v>10</v>
      </c>
      <c r="C10" t="s">
        <v>23</v>
      </c>
      <c r="D10" s="5">
        <v>6244</v>
      </c>
      <c r="E10" s="5">
        <v>5533</v>
      </c>
      <c r="F10" s="5">
        <v>3135</v>
      </c>
      <c r="G10" s="5">
        <v>7371</v>
      </c>
      <c r="H10" s="5">
        <v>9932</v>
      </c>
      <c r="I10" s="5">
        <v>3031</v>
      </c>
      <c r="J10" s="5">
        <f>AVERAGE(Tabla1[[#This Row],[Enero]:[Junio]])</f>
        <v>5874.333333333333</v>
      </c>
    </row>
    <row r="11" spans="1:10" x14ac:dyDescent="0.25">
      <c r="A11">
        <v>2</v>
      </c>
      <c r="B11" t="s">
        <v>11</v>
      </c>
      <c r="C11" t="s">
        <v>32</v>
      </c>
      <c r="D11" s="5">
        <v>5285</v>
      </c>
      <c r="E11" s="5">
        <v>9182</v>
      </c>
      <c r="F11" s="5">
        <v>3171</v>
      </c>
      <c r="G11" s="5">
        <v>3168</v>
      </c>
      <c r="H11" s="5">
        <v>6696</v>
      </c>
      <c r="I11" s="5">
        <v>4995</v>
      </c>
      <c r="J11" s="5">
        <f>AVERAGE(Tabla1[[#This Row],[Enero]:[Junio]])</f>
        <v>5416.166666666667</v>
      </c>
    </row>
    <row r="12" spans="1:10" x14ac:dyDescent="0.25">
      <c r="A12">
        <v>3</v>
      </c>
      <c r="B12" t="s">
        <v>12</v>
      </c>
      <c r="C12" t="s">
        <v>23</v>
      </c>
      <c r="D12" s="5">
        <v>4591</v>
      </c>
      <c r="E12" s="5">
        <v>2981</v>
      </c>
      <c r="F12" s="5">
        <v>6622</v>
      </c>
      <c r="G12" s="5">
        <v>6776</v>
      </c>
      <c r="H12" s="5">
        <v>7928</v>
      </c>
      <c r="I12" s="5">
        <v>5148</v>
      </c>
      <c r="J12" s="5">
        <f>AVERAGE(Tabla1[[#This Row],[Enero]:[Junio]])</f>
        <v>5674.333333333333</v>
      </c>
    </row>
    <row r="13" spans="1:10" x14ac:dyDescent="0.25">
      <c r="A13">
        <v>4</v>
      </c>
      <c r="B13" t="s">
        <v>13</v>
      </c>
      <c r="C13" t="s">
        <v>23</v>
      </c>
      <c r="D13" s="5">
        <v>2268</v>
      </c>
      <c r="E13" s="5">
        <v>3097</v>
      </c>
      <c r="F13" s="5">
        <v>2155</v>
      </c>
      <c r="G13" s="5">
        <v>2963</v>
      </c>
      <c r="H13" s="5">
        <v>1343</v>
      </c>
      <c r="I13" s="5">
        <v>1520</v>
      </c>
      <c r="J13" s="5">
        <f>AVERAGE(Tabla1[[#This Row],[Enero]:[Junio]])</f>
        <v>2224.3333333333335</v>
      </c>
    </row>
    <row r="14" spans="1:10" x14ac:dyDescent="0.25">
      <c r="A14">
        <v>5</v>
      </c>
      <c r="B14" t="s">
        <v>14</v>
      </c>
      <c r="C14" t="s">
        <v>23</v>
      </c>
      <c r="D14" s="5">
        <v>3130</v>
      </c>
      <c r="E14" s="5">
        <v>5148</v>
      </c>
      <c r="F14" s="5">
        <v>2878</v>
      </c>
      <c r="G14" s="5">
        <v>1755</v>
      </c>
      <c r="H14" s="5">
        <v>1953</v>
      </c>
      <c r="I14" s="5">
        <v>4408</v>
      </c>
      <c r="J14" s="5">
        <f>AVERAGE(Tabla1[[#This Row],[Enero]:[Junio]])</f>
        <v>3212</v>
      </c>
    </row>
    <row r="15" spans="1:10" x14ac:dyDescent="0.25">
      <c r="A15">
        <v>6</v>
      </c>
      <c r="B15" t="s">
        <v>15</v>
      </c>
      <c r="C15" t="s">
        <v>33</v>
      </c>
      <c r="D15" s="5">
        <v>4468</v>
      </c>
      <c r="E15" s="5">
        <v>7770</v>
      </c>
      <c r="F15" s="5">
        <v>3824</v>
      </c>
      <c r="G15" s="5">
        <v>2940</v>
      </c>
      <c r="H15" s="5">
        <v>9650</v>
      </c>
      <c r="I15" s="5">
        <v>8803</v>
      </c>
      <c r="J15" s="5">
        <f>AVERAGE(Tabla1[[#This Row],[Enero]:[Junio]])</f>
        <v>6242.5</v>
      </c>
    </row>
    <row r="16" spans="1:10" x14ac:dyDescent="0.25">
      <c r="A16">
        <v>7</v>
      </c>
      <c r="B16" t="s">
        <v>16</v>
      </c>
      <c r="C16" t="s">
        <v>24</v>
      </c>
      <c r="D16" s="5">
        <v>5618</v>
      </c>
      <c r="E16" s="5">
        <v>2004</v>
      </c>
      <c r="F16" s="5">
        <v>3102</v>
      </c>
      <c r="G16" s="5">
        <v>8869</v>
      </c>
      <c r="H16" s="5">
        <v>1106</v>
      </c>
      <c r="I16" s="5">
        <v>5753</v>
      </c>
      <c r="J16" s="5">
        <f>AVERAGE(Tabla1[[#This Row],[Enero]:[Junio]])</f>
        <v>4408.666666666667</v>
      </c>
    </row>
    <row r="17" spans="1:10" x14ac:dyDescent="0.25">
      <c r="A17">
        <v>8</v>
      </c>
      <c r="B17" t="s">
        <v>17</v>
      </c>
      <c r="C17" t="s">
        <v>34</v>
      </c>
      <c r="D17" s="5">
        <v>4351</v>
      </c>
      <c r="E17" s="5">
        <v>5116</v>
      </c>
      <c r="F17" s="5">
        <v>6623</v>
      </c>
      <c r="G17" s="5">
        <v>4617</v>
      </c>
      <c r="H17" s="5">
        <v>2445</v>
      </c>
      <c r="I17" s="5">
        <v>8310</v>
      </c>
      <c r="J17" s="5">
        <f>AVERAGE(Tabla1[[#This Row],[Enero]:[Junio]])</f>
        <v>5243.666666666667</v>
      </c>
    </row>
    <row r="18" spans="1:10" x14ac:dyDescent="0.25">
      <c r="A18">
        <v>9</v>
      </c>
      <c r="B18" t="s">
        <v>18</v>
      </c>
      <c r="C18" t="s">
        <v>32</v>
      </c>
      <c r="D18" s="5">
        <v>1423</v>
      </c>
      <c r="E18" s="5">
        <v>5170</v>
      </c>
      <c r="F18" s="5">
        <v>1589</v>
      </c>
      <c r="G18" s="5">
        <v>2895</v>
      </c>
      <c r="H18" s="5">
        <v>8753</v>
      </c>
      <c r="I18" s="5">
        <v>3267</v>
      </c>
      <c r="J18" s="5">
        <f>AVERAGE(Tabla1[[#This Row],[Enero]:[Junio]])</f>
        <v>3849.5</v>
      </c>
    </row>
    <row r="19" spans="1:10" x14ac:dyDescent="0.25">
      <c r="A19">
        <v>10</v>
      </c>
      <c r="B19" t="s">
        <v>19</v>
      </c>
      <c r="C19" t="s">
        <v>32</v>
      </c>
      <c r="D19" s="5">
        <v>6247</v>
      </c>
      <c r="E19" s="5">
        <v>2780</v>
      </c>
      <c r="F19" s="5">
        <v>3067</v>
      </c>
      <c r="G19" s="5">
        <v>2075</v>
      </c>
      <c r="H19" s="5">
        <v>4405</v>
      </c>
      <c r="I19" s="5">
        <v>1013</v>
      </c>
      <c r="J19" s="5">
        <f>AVERAGE(Tabla1[[#This Row],[Enero]:[Junio]])</f>
        <v>3264.5</v>
      </c>
    </row>
    <row r="20" spans="1:10" x14ac:dyDescent="0.25">
      <c r="A20">
        <v>11</v>
      </c>
      <c r="B20" t="s">
        <v>20</v>
      </c>
      <c r="C20" t="s">
        <v>23</v>
      </c>
      <c r="D20" s="5">
        <v>2783</v>
      </c>
      <c r="E20" s="5">
        <v>6113</v>
      </c>
      <c r="F20" s="5">
        <v>2174</v>
      </c>
      <c r="G20" s="5">
        <v>6599</v>
      </c>
      <c r="H20" s="5">
        <v>3883</v>
      </c>
      <c r="I20" s="5">
        <v>5420</v>
      </c>
      <c r="J20" s="5">
        <f>AVERAGE(Tabla1[[#This Row],[Enero]:[Junio]])</f>
        <v>4495.333333333333</v>
      </c>
    </row>
    <row r="21" spans="1:10" x14ac:dyDescent="0.25">
      <c r="A21">
        <v>12</v>
      </c>
      <c r="B21" t="s">
        <v>21</v>
      </c>
      <c r="C21" t="s">
        <v>23</v>
      </c>
      <c r="D21" s="5">
        <v>8772</v>
      </c>
      <c r="E21" s="5">
        <v>5057</v>
      </c>
      <c r="F21" s="5">
        <v>1889</v>
      </c>
      <c r="G21" s="5">
        <v>8650</v>
      </c>
      <c r="H21" s="5">
        <v>4067</v>
      </c>
      <c r="I21" s="5">
        <v>2674</v>
      </c>
      <c r="J21" s="5">
        <f>AVERAGE(Tabla1[[#This Row],[Enero]:[Junio]])</f>
        <v>5184.833333333333</v>
      </c>
    </row>
    <row r="22" spans="1:10" x14ac:dyDescent="0.25">
      <c r="A22">
        <v>13</v>
      </c>
      <c r="B22" t="s">
        <v>22</v>
      </c>
      <c r="C22" t="s">
        <v>23</v>
      </c>
      <c r="D22" s="5">
        <v>1098</v>
      </c>
      <c r="E22" s="5">
        <v>7395</v>
      </c>
      <c r="F22" s="5">
        <v>1904</v>
      </c>
      <c r="G22" s="5">
        <v>1003</v>
      </c>
      <c r="H22" s="5">
        <v>6802</v>
      </c>
      <c r="I22" s="5">
        <v>4825</v>
      </c>
      <c r="J22" s="5">
        <f>AVERAGE(Tabla1[[#This Row],[Enero]:[Junio]])</f>
        <v>3837.8333333333335</v>
      </c>
    </row>
    <row r="23" spans="1:10" x14ac:dyDescent="0.25">
      <c r="A23">
        <v>14</v>
      </c>
      <c r="B23" t="s">
        <v>29</v>
      </c>
      <c r="C23" t="s">
        <v>33</v>
      </c>
      <c r="D23" s="5">
        <v>9200</v>
      </c>
      <c r="E23" s="5">
        <v>7850</v>
      </c>
      <c r="F23" s="5">
        <v>2291</v>
      </c>
      <c r="G23" s="5">
        <v>2091</v>
      </c>
      <c r="H23" s="5">
        <v>5897</v>
      </c>
      <c r="I23" s="5">
        <v>4236</v>
      </c>
      <c r="J23" s="5">
        <f>AVERAGE(Tabla1[[#This Row],[Enero]:[Junio]])</f>
        <v>5260.833333333333</v>
      </c>
    </row>
    <row r="24" spans="1:10" x14ac:dyDescent="0.25">
      <c r="A24">
        <v>15</v>
      </c>
      <c r="B24" t="s">
        <v>30</v>
      </c>
      <c r="C24" t="s">
        <v>32</v>
      </c>
      <c r="D24" s="5">
        <v>6970</v>
      </c>
      <c r="E24" s="5">
        <v>7043</v>
      </c>
      <c r="F24" s="5">
        <v>9712</v>
      </c>
      <c r="G24" s="5">
        <v>8453</v>
      </c>
      <c r="H24" s="5">
        <v>6541</v>
      </c>
      <c r="I24" s="5">
        <v>8014</v>
      </c>
      <c r="J24" s="5">
        <f>AVERAGE(Tabla1[[#This Row],[Enero]:[Junio]])</f>
        <v>7788.833333333333</v>
      </c>
    </row>
    <row r="27" spans="1:10" ht="15.75" thickBot="1" x14ac:dyDescent="0.3">
      <c r="A27" s="6" t="s">
        <v>1</v>
      </c>
      <c r="B27" s="8" t="s">
        <v>2</v>
      </c>
      <c r="C27" s="8" t="s">
        <v>9</v>
      </c>
      <c r="D27" s="8" t="s">
        <v>3</v>
      </c>
      <c r="E27" s="8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9" t="s">
        <v>31</v>
      </c>
    </row>
    <row r="28" spans="1:10" ht="15.75" thickTop="1" x14ac:dyDescent="0.25">
      <c r="A28" s="7">
        <v>1</v>
      </c>
      <c r="B28" s="10" t="s">
        <v>10</v>
      </c>
      <c r="C28" s="10" t="s">
        <v>23</v>
      </c>
      <c r="D28" s="11">
        <f ca="1">RANDBETWEEN(1000,10000)</f>
        <v>5138</v>
      </c>
      <c r="E28" s="11">
        <f t="shared" ref="E28:I28" ca="1" si="0">RANDBETWEEN(1000,10000)</f>
        <v>8190</v>
      </c>
      <c r="F28" s="11">
        <f t="shared" ca="1" si="0"/>
        <v>2624</v>
      </c>
      <c r="G28" s="11">
        <f t="shared" ca="1" si="0"/>
        <v>1233</v>
      </c>
      <c r="H28" s="11">
        <f t="shared" ca="1" si="0"/>
        <v>2497</v>
      </c>
      <c r="I28" s="11">
        <f t="shared" ca="1" si="0"/>
        <v>8696</v>
      </c>
      <c r="J28" s="12">
        <f ca="1">AVERAGE(D28:I28)</f>
        <v>4729.666666666667</v>
      </c>
    </row>
    <row r="29" spans="1:10" x14ac:dyDescent="0.25">
      <c r="A29" s="13">
        <v>2</v>
      </c>
      <c r="B29" s="14" t="s">
        <v>11</v>
      </c>
      <c r="C29" s="14" t="s">
        <v>24</v>
      </c>
      <c r="D29" s="15">
        <f t="shared" ref="D29:I40" ca="1" si="1">RANDBETWEEN(1000,10000)</f>
        <v>3832</v>
      </c>
      <c r="E29" s="15">
        <f t="shared" ca="1" si="1"/>
        <v>3505</v>
      </c>
      <c r="F29" s="15">
        <f t="shared" ca="1" si="1"/>
        <v>6572</v>
      </c>
      <c r="G29" s="15">
        <f t="shared" ca="1" si="1"/>
        <v>2740</v>
      </c>
      <c r="H29" s="15">
        <f t="shared" ca="1" si="1"/>
        <v>4986</v>
      </c>
      <c r="I29" s="15">
        <f t="shared" ca="1" si="1"/>
        <v>8714</v>
      </c>
      <c r="J29" s="16">
        <f t="shared" ref="J29:J40" ca="1" si="2">AVERAGE(D29:I29)</f>
        <v>5058.166666666667</v>
      </c>
    </row>
    <row r="30" spans="1:10" x14ac:dyDescent="0.25">
      <c r="A30" s="7">
        <v>3</v>
      </c>
      <c r="B30" s="10" t="s">
        <v>12</v>
      </c>
      <c r="C30" s="10" t="s">
        <v>23</v>
      </c>
      <c r="D30" s="11">
        <f t="shared" ca="1" si="1"/>
        <v>4169</v>
      </c>
      <c r="E30" s="11">
        <f t="shared" ca="1" si="1"/>
        <v>1763</v>
      </c>
      <c r="F30" s="11">
        <f t="shared" ca="1" si="1"/>
        <v>2531</v>
      </c>
      <c r="G30" s="11">
        <f t="shared" ca="1" si="1"/>
        <v>1185</v>
      </c>
      <c r="H30" s="11">
        <f t="shared" ca="1" si="1"/>
        <v>3870</v>
      </c>
      <c r="I30" s="11">
        <f t="shared" ca="1" si="1"/>
        <v>4101</v>
      </c>
      <c r="J30" s="17">
        <f t="shared" ca="1" si="2"/>
        <v>2936.5</v>
      </c>
    </row>
    <row r="31" spans="1:10" x14ac:dyDescent="0.25">
      <c r="A31" s="13">
        <v>4</v>
      </c>
      <c r="B31" s="14" t="s">
        <v>13</v>
      </c>
      <c r="C31" s="14" t="s">
        <v>23</v>
      </c>
      <c r="D31" s="15">
        <f t="shared" ca="1" si="1"/>
        <v>3019</v>
      </c>
      <c r="E31" s="15">
        <f t="shared" ca="1" si="1"/>
        <v>4266</v>
      </c>
      <c r="F31" s="15">
        <f t="shared" ca="1" si="1"/>
        <v>6854</v>
      </c>
      <c r="G31" s="15">
        <f t="shared" ca="1" si="1"/>
        <v>5980</v>
      </c>
      <c r="H31" s="15">
        <f t="shared" ca="1" si="1"/>
        <v>5344</v>
      </c>
      <c r="I31" s="15">
        <f t="shared" ca="1" si="1"/>
        <v>7473</v>
      </c>
      <c r="J31" s="16">
        <f t="shared" ca="1" si="2"/>
        <v>5489.333333333333</v>
      </c>
    </row>
    <row r="32" spans="1:10" x14ac:dyDescent="0.25">
      <c r="A32" s="7">
        <v>5</v>
      </c>
      <c r="B32" s="10" t="s">
        <v>14</v>
      </c>
      <c r="C32" s="10" t="s">
        <v>23</v>
      </c>
      <c r="D32" s="11">
        <f t="shared" ca="1" si="1"/>
        <v>4925</v>
      </c>
      <c r="E32" s="11">
        <f t="shared" ca="1" si="1"/>
        <v>1924</v>
      </c>
      <c r="F32" s="11">
        <f t="shared" ca="1" si="1"/>
        <v>3293</v>
      </c>
      <c r="G32" s="11">
        <f t="shared" ca="1" si="1"/>
        <v>2398</v>
      </c>
      <c r="H32" s="11">
        <f t="shared" ca="1" si="1"/>
        <v>2663</v>
      </c>
      <c r="I32" s="11">
        <f t="shared" ca="1" si="1"/>
        <v>2778</v>
      </c>
      <c r="J32" s="17">
        <f t="shared" ca="1" si="2"/>
        <v>2996.8333333333335</v>
      </c>
    </row>
    <row r="33" spans="1:10" x14ac:dyDescent="0.25">
      <c r="A33" s="13">
        <v>6</v>
      </c>
      <c r="B33" s="14" t="s">
        <v>15</v>
      </c>
      <c r="C33" s="14" t="s">
        <v>24</v>
      </c>
      <c r="D33" s="15">
        <f t="shared" ca="1" si="1"/>
        <v>1902</v>
      </c>
      <c r="E33" s="15">
        <f t="shared" ca="1" si="1"/>
        <v>2838</v>
      </c>
      <c r="F33" s="15">
        <f t="shared" ca="1" si="1"/>
        <v>4069</v>
      </c>
      <c r="G33" s="15">
        <f t="shared" ca="1" si="1"/>
        <v>1034</v>
      </c>
      <c r="H33" s="15">
        <f t="shared" ca="1" si="1"/>
        <v>6460</v>
      </c>
      <c r="I33" s="15">
        <f t="shared" ca="1" si="1"/>
        <v>5994</v>
      </c>
      <c r="J33" s="16">
        <f t="shared" ca="1" si="2"/>
        <v>3716.1666666666665</v>
      </c>
    </row>
    <row r="34" spans="1:10" x14ac:dyDescent="0.25">
      <c r="A34" s="7">
        <v>7</v>
      </c>
      <c r="B34" s="10" t="s">
        <v>16</v>
      </c>
      <c r="C34" s="10" t="s">
        <v>24</v>
      </c>
      <c r="D34" s="11">
        <f t="shared" ca="1" si="1"/>
        <v>9775</v>
      </c>
      <c r="E34" s="11">
        <f t="shared" ca="1" si="1"/>
        <v>3219</v>
      </c>
      <c r="F34" s="11">
        <f t="shared" ca="1" si="1"/>
        <v>1058</v>
      </c>
      <c r="G34" s="11">
        <f t="shared" ca="1" si="1"/>
        <v>6722</v>
      </c>
      <c r="H34" s="11">
        <f t="shared" ca="1" si="1"/>
        <v>5279</v>
      </c>
      <c r="I34" s="11">
        <f t="shared" ca="1" si="1"/>
        <v>6981</v>
      </c>
      <c r="J34" s="17">
        <f t="shared" ca="1" si="2"/>
        <v>5505.666666666667</v>
      </c>
    </row>
    <row r="35" spans="1:10" x14ac:dyDescent="0.25">
      <c r="A35" s="13">
        <v>8</v>
      </c>
      <c r="B35" s="14" t="s">
        <v>17</v>
      </c>
      <c r="C35" s="14" t="s">
        <v>24</v>
      </c>
      <c r="D35" s="15">
        <f t="shared" ca="1" si="1"/>
        <v>3001</v>
      </c>
      <c r="E35" s="15">
        <f t="shared" ca="1" si="1"/>
        <v>6954</v>
      </c>
      <c r="F35" s="15">
        <f t="shared" ca="1" si="1"/>
        <v>2533</v>
      </c>
      <c r="G35" s="15">
        <f t="shared" ca="1" si="1"/>
        <v>7140</v>
      </c>
      <c r="H35" s="15">
        <f t="shared" ca="1" si="1"/>
        <v>6075</v>
      </c>
      <c r="I35" s="15">
        <f t="shared" ca="1" si="1"/>
        <v>8299</v>
      </c>
      <c r="J35" s="16">
        <f t="shared" ca="1" si="2"/>
        <v>5667</v>
      </c>
    </row>
    <row r="36" spans="1:10" x14ac:dyDescent="0.25">
      <c r="A36" s="7">
        <v>9</v>
      </c>
      <c r="B36" s="10" t="s">
        <v>18</v>
      </c>
      <c r="C36" s="10" t="s">
        <v>24</v>
      </c>
      <c r="D36" s="11">
        <f t="shared" ca="1" si="1"/>
        <v>5084</v>
      </c>
      <c r="E36" s="11">
        <f t="shared" ca="1" si="1"/>
        <v>7930</v>
      </c>
      <c r="F36" s="11">
        <f t="shared" ca="1" si="1"/>
        <v>9196</v>
      </c>
      <c r="G36" s="11">
        <f t="shared" ca="1" si="1"/>
        <v>7828</v>
      </c>
      <c r="H36" s="11">
        <f t="shared" ca="1" si="1"/>
        <v>5536</v>
      </c>
      <c r="I36" s="11">
        <f t="shared" ca="1" si="1"/>
        <v>1908</v>
      </c>
      <c r="J36" s="17">
        <f t="shared" ca="1" si="2"/>
        <v>6247</v>
      </c>
    </row>
    <row r="37" spans="1:10" x14ac:dyDescent="0.25">
      <c r="A37" s="13">
        <v>10</v>
      </c>
      <c r="B37" s="14" t="s">
        <v>19</v>
      </c>
      <c r="C37" s="14" t="s">
        <v>24</v>
      </c>
      <c r="D37" s="15">
        <f t="shared" ca="1" si="1"/>
        <v>7979</v>
      </c>
      <c r="E37" s="15">
        <f t="shared" ca="1" si="1"/>
        <v>4052</v>
      </c>
      <c r="F37" s="15">
        <f t="shared" ca="1" si="1"/>
        <v>6394</v>
      </c>
      <c r="G37" s="15">
        <f t="shared" ca="1" si="1"/>
        <v>1290</v>
      </c>
      <c r="H37" s="15">
        <f t="shared" ca="1" si="1"/>
        <v>9104</v>
      </c>
      <c r="I37" s="15">
        <f t="shared" ca="1" si="1"/>
        <v>6625</v>
      </c>
      <c r="J37" s="16">
        <f t="shared" ca="1" si="2"/>
        <v>5907.333333333333</v>
      </c>
    </row>
    <row r="38" spans="1:10" x14ac:dyDescent="0.25">
      <c r="A38" s="7">
        <v>11</v>
      </c>
      <c r="B38" s="10" t="s">
        <v>20</v>
      </c>
      <c r="C38" s="10" t="s">
        <v>23</v>
      </c>
      <c r="D38" s="11">
        <f t="shared" ca="1" si="1"/>
        <v>9500</v>
      </c>
      <c r="E38" s="11">
        <f t="shared" ca="1" si="1"/>
        <v>3735</v>
      </c>
      <c r="F38" s="11">
        <f t="shared" ca="1" si="1"/>
        <v>6989</v>
      </c>
      <c r="G38" s="11">
        <f t="shared" ca="1" si="1"/>
        <v>4753</v>
      </c>
      <c r="H38" s="11">
        <f t="shared" ca="1" si="1"/>
        <v>8099</v>
      </c>
      <c r="I38" s="11">
        <f t="shared" ca="1" si="1"/>
        <v>7370</v>
      </c>
      <c r="J38" s="17">
        <f t="shared" ca="1" si="2"/>
        <v>6741</v>
      </c>
    </row>
    <row r="39" spans="1:10" x14ac:dyDescent="0.25">
      <c r="A39" s="13">
        <v>12</v>
      </c>
      <c r="B39" s="14" t="s">
        <v>21</v>
      </c>
      <c r="C39" s="14" t="s">
        <v>23</v>
      </c>
      <c r="D39" s="15">
        <f t="shared" ca="1" si="1"/>
        <v>5664</v>
      </c>
      <c r="E39" s="15">
        <f t="shared" ca="1" si="1"/>
        <v>6273</v>
      </c>
      <c r="F39" s="15">
        <f t="shared" ca="1" si="1"/>
        <v>7603</v>
      </c>
      <c r="G39" s="15">
        <f t="shared" ca="1" si="1"/>
        <v>2153</v>
      </c>
      <c r="H39" s="15">
        <f t="shared" ca="1" si="1"/>
        <v>4243</v>
      </c>
      <c r="I39" s="15">
        <f t="shared" ca="1" si="1"/>
        <v>9841</v>
      </c>
      <c r="J39" s="16">
        <f t="shared" ca="1" si="2"/>
        <v>5962.833333333333</v>
      </c>
    </row>
    <row r="40" spans="1:10" x14ac:dyDescent="0.25">
      <c r="A40" s="3">
        <v>13</v>
      </c>
      <c r="B40" s="18" t="s">
        <v>22</v>
      </c>
      <c r="C40" s="18" t="s">
        <v>23</v>
      </c>
      <c r="D40" s="19">
        <f t="shared" ca="1" si="1"/>
        <v>5638</v>
      </c>
      <c r="E40" s="19">
        <f t="shared" ca="1" si="1"/>
        <v>5726</v>
      </c>
      <c r="F40" s="19">
        <f t="shared" ca="1" si="1"/>
        <v>6075</v>
      </c>
      <c r="G40" s="19">
        <f t="shared" ca="1" si="1"/>
        <v>2321</v>
      </c>
      <c r="H40" s="19">
        <f t="shared" ca="1" si="1"/>
        <v>6410</v>
      </c>
      <c r="I40" s="19">
        <f t="shared" ca="1" si="1"/>
        <v>4184</v>
      </c>
      <c r="J40" s="17">
        <f t="shared" ca="1" si="2"/>
        <v>5059</v>
      </c>
    </row>
    <row r="41" spans="1:10" x14ac:dyDescent="0.25">
      <c r="F41" s="4"/>
    </row>
    <row r="49" spans="2:7" x14ac:dyDescent="0.25">
      <c r="B49">
        <v>6244</v>
      </c>
      <c r="C49">
        <v>5533</v>
      </c>
      <c r="D49">
        <v>3135</v>
      </c>
      <c r="E49">
        <v>7371</v>
      </c>
      <c r="F49">
        <v>9932</v>
      </c>
      <c r="G49">
        <v>3031</v>
      </c>
    </row>
    <row r="50" spans="2:7" x14ac:dyDescent="0.25">
      <c r="B50">
        <v>5285</v>
      </c>
      <c r="C50">
        <v>9182</v>
      </c>
      <c r="D50">
        <v>3171</v>
      </c>
      <c r="E50">
        <v>3168</v>
      </c>
      <c r="F50">
        <v>6696</v>
      </c>
      <c r="G50">
        <v>4995</v>
      </c>
    </row>
    <row r="51" spans="2:7" x14ac:dyDescent="0.25">
      <c r="B51">
        <v>4591</v>
      </c>
      <c r="C51">
        <v>2981</v>
      </c>
      <c r="D51">
        <v>6622</v>
      </c>
      <c r="E51">
        <v>6776</v>
      </c>
      <c r="F51">
        <v>7928</v>
      </c>
      <c r="G51">
        <v>5148</v>
      </c>
    </row>
    <row r="52" spans="2:7" x14ac:dyDescent="0.25">
      <c r="B52">
        <v>2268</v>
      </c>
      <c r="C52">
        <v>3097</v>
      </c>
      <c r="D52">
        <v>2155</v>
      </c>
      <c r="E52">
        <v>2963</v>
      </c>
      <c r="F52">
        <v>1343</v>
      </c>
      <c r="G52">
        <v>1520</v>
      </c>
    </row>
    <row r="53" spans="2:7" x14ac:dyDescent="0.25">
      <c r="B53">
        <v>3130</v>
      </c>
      <c r="C53">
        <v>5148</v>
      </c>
      <c r="D53">
        <v>2878</v>
      </c>
      <c r="E53">
        <v>1755</v>
      </c>
      <c r="F53">
        <v>1953</v>
      </c>
      <c r="G53">
        <v>4408</v>
      </c>
    </row>
    <row r="54" spans="2:7" x14ac:dyDescent="0.25">
      <c r="B54">
        <v>4468</v>
      </c>
      <c r="C54">
        <v>7770</v>
      </c>
      <c r="D54">
        <v>3824</v>
      </c>
      <c r="E54">
        <v>2940</v>
      </c>
      <c r="F54">
        <v>9650</v>
      </c>
      <c r="G54">
        <v>8803</v>
      </c>
    </row>
    <row r="55" spans="2:7" x14ac:dyDescent="0.25">
      <c r="B55">
        <v>5618</v>
      </c>
      <c r="C55">
        <v>2004</v>
      </c>
      <c r="D55">
        <v>3102</v>
      </c>
      <c r="E55">
        <v>8869</v>
      </c>
      <c r="F55">
        <v>1106</v>
      </c>
      <c r="G55">
        <v>5753</v>
      </c>
    </row>
    <row r="56" spans="2:7" x14ac:dyDescent="0.25">
      <c r="B56">
        <v>4351</v>
      </c>
      <c r="C56">
        <v>5116</v>
      </c>
      <c r="D56">
        <v>6623</v>
      </c>
      <c r="E56">
        <v>4617</v>
      </c>
      <c r="F56">
        <v>2445</v>
      </c>
      <c r="G56">
        <v>8310</v>
      </c>
    </row>
    <row r="57" spans="2:7" x14ac:dyDescent="0.25">
      <c r="B57">
        <v>1423</v>
      </c>
      <c r="C57">
        <v>5170</v>
      </c>
      <c r="D57">
        <v>1589</v>
      </c>
      <c r="E57">
        <v>2895</v>
      </c>
      <c r="F57">
        <v>8753</v>
      </c>
      <c r="G57">
        <v>3267</v>
      </c>
    </row>
    <row r="58" spans="2:7" x14ac:dyDescent="0.25">
      <c r="B58">
        <v>6247</v>
      </c>
      <c r="C58">
        <v>2780</v>
      </c>
      <c r="D58">
        <v>3067</v>
      </c>
      <c r="E58">
        <v>2075</v>
      </c>
      <c r="F58">
        <v>4405</v>
      </c>
      <c r="G58">
        <v>1013</v>
      </c>
    </row>
    <row r="59" spans="2:7" x14ac:dyDescent="0.25">
      <c r="B59">
        <v>2783</v>
      </c>
      <c r="C59">
        <v>6113</v>
      </c>
      <c r="D59">
        <v>2174</v>
      </c>
      <c r="E59">
        <v>6599</v>
      </c>
      <c r="F59">
        <v>3883</v>
      </c>
      <c r="G59">
        <v>5420</v>
      </c>
    </row>
    <row r="60" spans="2:7" x14ac:dyDescent="0.25">
      <c r="B60">
        <v>8772</v>
      </c>
      <c r="C60">
        <v>5057</v>
      </c>
      <c r="D60">
        <v>1889</v>
      </c>
      <c r="E60">
        <v>8650</v>
      </c>
      <c r="F60">
        <v>4067</v>
      </c>
      <c r="G60">
        <v>2674</v>
      </c>
    </row>
    <row r="61" spans="2:7" x14ac:dyDescent="0.25">
      <c r="B61">
        <v>1098</v>
      </c>
      <c r="C61">
        <v>7395</v>
      </c>
      <c r="D61">
        <v>1904</v>
      </c>
      <c r="E61">
        <v>1003</v>
      </c>
      <c r="F61">
        <v>6802</v>
      </c>
      <c r="G61">
        <v>4825</v>
      </c>
    </row>
    <row r="62" spans="2:7" x14ac:dyDescent="0.25">
      <c r="B62">
        <v>9200</v>
      </c>
      <c r="C62">
        <v>7850</v>
      </c>
      <c r="D62">
        <v>2291</v>
      </c>
      <c r="E62">
        <v>2091</v>
      </c>
      <c r="F62">
        <v>5897</v>
      </c>
      <c r="G62">
        <v>4236</v>
      </c>
    </row>
    <row r="63" spans="2:7" x14ac:dyDescent="0.25">
      <c r="B63">
        <v>6970</v>
      </c>
      <c r="C63">
        <v>7043</v>
      </c>
      <c r="D63">
        <v>9712</v>
      </c>
      <c r="E63">
        <v>8453</v>
      </c>
      <c r="F63">
        <v>6541</v>
      </c>
      <c r="G63">
        <v>8014</v>
      </c>
    </row>
  </sheetData>
  <autoFilter ref="A27:J40"/>
  <mergeCells count="1">
    <mergeCell ref="A1:F2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C9F91509-C498-4606-9226-4749363B491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D10:D24</xm:sqref>
        </x14:conditionalFormatting>
        <x14:conditionalFormatting xmlns:xm="http://schemas.microsoft.com/office/excel/2006/main">
          <x14:cfRule type="iconSet" priority="2" id="{9E8228E1-CBB9-4942-987E-8D3F405D5F3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E10:E24</xm:sqref>
        </x14:conditionalFormatting>
        <x14:conditionalFormatting xmlns:xm="http://schemas.microsoft.com/office/excel/2006/main">
          <x14:cfRule type="iconSet" priority="1" id="{886E4A56-E6AD-4CAE-B330-E23C32710B2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F9:I24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2021-10-07T22:05:46Z</dcterms:created>
  <dcterms:modified xsi:type="dcterms:W3CDTF">2021-10-07T23:19:55Z</dcterms:modified>
</cp:coreProperties>
</file>