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/>
  </bookViews>
  <sheets>
    <sheet name="Hoja1" sheetId="1" r:id="rId1"/>
  </sheets>
  <definedNames>
    <definedName name="A">Hoja1!$C$55</definedName>
    <definedName name="B">Hoja1!$C$56</definedName>
    <definedName name="impue1">Hoja1!$B$44</definedName>
    <definedName name="iva">Hoja1!$B$34</definedName>
    <definedName name="misfrutas">Hoja1!$G$46:$G$50</definedName>
    <definedName name="mispaises">Hoja1!$B$46:$B$50</definedName>
    <definedName name="mivar1">Hoja1!$H$66</definedName>
    <definedName name="mivar2">Hoja1!$H$71</definedName>
    <definedName name="VAR_C">Hoja1!$C$59</definedName>
    <definedName name="X">Hoja1!$C$57</definedName>
    <definedName name="Y">Hoja1!$C$58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2" i="1" l="1"/>
  <c r="H73" i="1"/>
  <c r="E56" i="1"/>
  <c r="D55" i="1" l="1"/>
  <c r="D59" i="1"/>
  <c r="D58" i="1"/>
  <c r="D57" i="1"/>
  <c r="D56" i="1"/>
  <c r="C44" i="1"/>
  <c r="C38" i="1"/>
  <c r="C39" i="1"/>
  <c r="C40" i="1"/>
  <c r="C41" i="1"/>
  <c r="C42" i="1"/>
  <c r="C37" i="1"/>
  <c r="H25" i="1"/>
  <c r="H26" i="1"/>
  <c r="H27" i="1"/>
  <c r="H28" i="1"/>
  <c r="H29" i="1"/>
  <c r="H24" i="1"/>
  <c r="C24" i="1"/>
  <c r="C25" i="1"/>
  <c r="C26" i="1"/>
  <c r="C27" i="1"/>
  <c r="C28" i="1"/>
  <c r="C29" i="1"/>
  <c r="J10" i="1"/>
  <c r="H12" i="1"/>
  <c r="J14" i="1"/>
  <c r="G5" i="1"/>
  <c r="F4" i="1"/>
</calcChain>
</file>

<file path=xl/sharedStrings.xml><?xml version="1.0" encoding="utf-8"?>
<sst xmlns="http://schemas.openxmlformats.org/spreadsheetml/2006/main" count="109" uniqueCount="84">
  <si>
    <t>Bloque 2 Crear y Trabajar con Formulas, Funciones y Sentencias.</t>
  </si>
  <si>
    <t>Procesos:</t>
  </si>
  <si>
    <t>Formula</t>
  </si>
  <si>
    <t>Función</t>
  </si>
  <si>
    <t>Sentencia</t>
  </si>
  <si>
    <t>a</t>
  </si>
  <si>
    <t>b</t>
  </si>
  <si>
    <t>a(2b+7)+1</t>
  </si>
  <si>
    <t>Proceso Estandar</t>
  </si>
  <si>
    <t>Proceso Personalizado</t>
  </si>
  <si>
    <t>Números</t>
  </si>
  <si>
    <t>Proceso Cuestinado</t>
  </si>
  <si>
    <t>Color</t>
  </si>
  <si>
    <t>Resultado</t>
  </si>
  <si>
    <t>Procesos en Excel</t>
  </si>
  <si>
    <t>El Carácter =</t>
  </si>
  <si>
    <t>=a(2b+7)+1</t>
  </si>
  <si>
    <t>Parametros, Referencias o Valores</t>
  </si>
  <si>
    <t>Operadores (Aritmeticos, Relacionales o Logicos)</t>
  </si>
  <si>
    <t xml:space="preserve"> </t>
  </si>
  <si>
    <t>Valores</t>
  </si>
  <si>
    <t>Referencias</t>
  </si>
  <si>
    <t>Absolutas</t>
  </si>
  <si>
    <t>Relativas</t>
  </si>
  <si>
    <t>1 a muchos</t>
  </si>
  <si>
    <t>1 a 1</t>
  </si>
  <si>
    <t>IVA</t>
  </si>
  <si>
    <t>A</t>
  </si>
  <si>
    <t>B</t>
  </si>
  <si>
    <t>C</t>
  </si>
  <si>
    <t>D</t>
  </si>
  <si>
    <t>E</t>
  </si>
  <si>
    <t>F</t>
  </si>
  <si>
    <t>Producto</t>
  </si>
  <si>
    <t>Precio Sin iva</t>
  </si>
  <si>
    <t>Precio Con iva</t>
  </si>
  <si>
    <t>Precio U</t>
  </si>
  <si>
    <t>Cantidad</t>
  </si>
  <si>
    <t>Importe</t>
  </si>
  <si>
    <t>Variable</t>
  </si>
  <si>
    <t>Sustuituye la referencia tipica por un nombre y la combierte en absoluta</t>
  </si>
  <si>
    <t>Reglas para usar variables</t>
  </si>
  <si>
    <t>1.- Los nombre siempre deben uniciar con una letra</t>
  </si>
  <si>
    <t>2.- Pueden incluir números si se respeta la primera regla</t>
  </si>
  <si>
    <t>3.- Los nombre deben ser unicos</t>
  </si>
  <si>
    <t>4.- No admiten espacios en blanco pero si _ para separar</t>
  </si>
  <si>
    <t>iva de esto</t>
  </si>
  <si>
    <t>iva_de_esto</t>
  </si>
  <si>
    <t>Valor</t>
  </si>
  <si>
    <t>Paises</t>
  </si>
  <si>
    <t>México</t>
  </si>
  <si>
    <t>España</t>
  </si>
  <si>
    <t>Francia</t>
  </si>
  <si>
    <t>Japón</t>
  </si>
  <si>
    <t>China</t>
  </si>
  <si>
    <t>Frutas</t>
  </si>
  <si>
    <t>Manzana</t>
  </si>
  <si>
    <t>Pera</t>
  </si>
  <si>
    <t>Mango</t>
  </si>
  <si>
    <t>Melón</t>
  </si>
  <si>
    <t>Durazno</t>
  </si>
  <si>
    <t>Ecuaciones</t>
  </si>
  <si>
    <t>2a+3b</t>
  </si>
  <si>
    <t>2a(3c-4)+5</t>
  </si>
  <si>
    <t>(4b+40)/2</t>
  </si>
  <si>
    <t>2x+4y+(a/2)</t>
  </si>
  <si>
    <t>x</t>
  </si>
  <si>
    <t>y</t>
  </si>
  <si>
    <t>c</t>
  </si>
  <si>
    <t>Variables</t>
  </si>
  <si>
    <t>40-a+b+c</t>
  </si>
  <si>
    <t>RANGOS</t>
  </si>
  <si>
    <t>Establecen una secuencia de referencias que en grupo se manejan como parametro</t>
  </si>
  <si>
    <t>El Rango se compone por una celda inicio : celda final</t>
  </si>
  <si>
    <t>Ejemplos</t>
  </si>
  <si>
    <t>a1:a10</t>
  </si>
  <si>
    <t>a1:f1</t>
  </si>
  <si>
    <t>Rango Verical</t>
  </si>
  <si>
    <t>Rango Horizontal</t>
  </si>
  <si>
    <t>a1:f10</t>
  </si>
  <si>
    <t>Rango Ambos</t>
  </si>
  <si>
    <t>Nota: Los rangos pueden ser Absolutos o Relativos</t>
  </si>
  <si>
    <t>mivar1:mivar2</t>
  </si>
  <si>
    <t>No la recomiendo pero si puede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</si>
</sst>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49" fontId="0" fillId="2" borderId="1" xfId="0" applyNumberFormat="1" applyFill="1" applyBorder="1"/>
    <xf numFmtId="0" fontId="6" fillId="0" borderId="1" xfId="0" applyFont="1" applyBorder="1"/>
    <xf numFmtId="0" fontId="5" fillId="0" borderId="1" xfId="0" applyFont="1" applyBorder="1"/>
    <xf numFmtId="44" fontId="0" fillId="0" borderId="1" xfId="1" applyFont="1" applyBorder="1"/>
    <xf numFmtId="44" fontId="0" fillId="0" borderId="1" xfId="0" applyNumberFormat="1" applyBorder="1"/>
    <xf numFmtId="0" fontId="7" fillId="0" borderId="1" xfId="0" applyFont="1" applyBorder="1"/>
    <xf numFmtId="10" fontId="7" fillId="0" borderId="1" xfId="0" applyNumberFormat="1" applyFont="1" applyBorder="1"/>
    <xf numFmtId="0" fontId="7" fillId="0" borderId="0" xfId="0" applyFont="1"/>
    <xf numFmtId="0" fontId="7" fillId="0" borderId="0" xfId="0" applyFont="1" applyBorder="1"/>
    <xf numFmtId="10" fontId="7" fillId="0" borderId="0" xfId="0" applyNumberFormat="1" applyFont="1" applyBorder="1"/>
    <xf numFmtId="44" fontId="7" fillId="0" borderId="1" xfId="1" applyFont="1" applyFill="1" applyBorder="1"/>
    <xf numFmtId="2" fontId="0" fillId="0" borderId="1" xfId="0" applyNumberFormat="1" applyBorder="1"/>
    <xf numFmtId="10" fontId="5" fillId="0" borderId="1" xfId="0" applyNumberFormat="1" applyFont="1" applyBorder="1"/>
    <xf numFmtId="0" fontId="5" fillId="0" borderId="0" xfId="0" applyFont="1" applyBorder="1"/>
    <xf numFmtId="10" fontId="5" fillId="0" borderId="0" xfId="0" applyNumberFormat="1" applyFont="1" applyBorder="1"/>
    <xf numFmtId="0" fontId="5" fillId="0" borderId="0" xfId="0" applyFont="1" applyFill="1" applyBorder="1"/>
    <xf numFmtId="0" fontId="0" fillId="0" borderId="2" xfId="0" applyBorder="1"/>
    <xf numFmtId="0" fontId="0" fillId="0" borderId="3" xfId="0" applyBorder="1"/>
    <xf numFmtId="0" fontId="2" fillId="0" borderId="1" xfId="0" applyFont="1" applyFill="1" applyBorder="1"/>
    <xf numFmtId="0" fontId="2" fillId="0" borderId="1" xfId="0" applyFont="1" applyBorder="1"/>
    <xf numFmtId="0" fontId="5" fillId="0" borderId="1" xfId="0" applyFont="1" applyFill="1" applyBorder="1"/>
    <xf numFmtId="0" fontId="0" fillId="2" borderId="1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J73"/>
  <sheetViews>
    <sheetView tabSelected="1" topLeftCell="A57" zoomScale="160" zoomScaleNormal="160" workbookViewId="0">
      <selection activeCell="J73" sqref="J73"/>
    </sheetView>
  </sheetViews>
  <sheetFormatPr baseColWidth="10" defaultRowHeight="15" x14ac:dyDescent="0.25"/>
  <cols>
    <col min="2" max="2" width="12.28515625" customWidth="1"/>
    <col min="3" max="3" width="12.7109375" customWidth="1"/>
    <col min="5" max="5" width="11.85546875" bestFit="1" customWidth="1"/>
    <col min="8" max="8" width="11.8554687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</row>
    <row r="2" spans="1:10" x14ac:dyDescent="0.25">
      <c r="A2" s="2"/>
      <c r="B2" s="2"/>
      <c r="C2" s="2"/>
      <c r="D2" s="2"/>
      <c r="E2" s="2"/>
      <c r="F2" s="2"/>
    </row>
    <row r="4" spans="1:10" x14ac:dyDescent="0.25">
      <c r="A4" t="s">
        <v>1</v>
      </c>
      <c r="B4" t="s">
        <v>2</v>
      </c>
      <c r="C4" s="3" t="s">
        <v>9</v>
      </c>
      <c r="F4">
        <f>7*8</f>
        <v>56</v>
      </c>
      <c r="G4" t="s">
        <v>7</v>
      </c>
      <c r="H4" t="s">
        <v>5</v>
      </c>
      <c r="I4">
        <v>2</v>
      </c>
    </row>
    <row r="5" spans="1:10" x14ac:dyDescent="0.25">
      <c r="B5" t="s">
        <v>3</v>
      </c>
      <c r="C5" s="6" t="s">
        <v>8</v>
      </c>
      <c r="G5">
        <f>I4*(2*I5+7)+1</f>
        <v>35</v>
      </c>
      <c r="H5" t="s">
        <v>6</v>
      </c>
      <c r="I5">
        <v>5</v>
      </c>
    </row>
    <row r="6" spans="1:10" x14ac:dyDescent="0.25">
      <c r="B6" t="s">
        <v>4</v>
      </c>
      <c r="C6" t="s">
        <v>11</v>
      </c>
    </row>
    <row r="7" spans="1:10" x14ac:dyDescent="0.25">
      <c r="G7" t="s">
        <v>10</v>
      </c>
      <c r="H7">
        <v>10</v>
      </c>
      <c r="J7">
        <v>1</v>
      </c>
    </row>
    <row r="8" spans="1:10" x14ac:dyDescent="0.25">
      <c r="H8">
        <v>8</v>
      </c>
      <c r="J8">
        <v>1</v>
      </c>
    </row>
    <row r="9" spans="1:10" x14ac:dyDescent="0.25">
      <c r="A9" t="s">
        <v>14</v>
      </c>
      <c r="C9" s="3" t="s">
        <v>15</v>
      </c>
      <c r="E9" s="8" t="s">
        <v>16</v>
      </c>
      <c r="H9">
        <v>9</v>
      </c>
      <c r="J9">
        <v>1</v>
      </c>
    </row>
    <row r="10" spans="1:10" x14ac:dyDescent="0.25">
      <c r="C10" s="6" t="s">
        <v>17</v>
      </c>
      <c r="H10">
        <v>5</v>
      </c>
      <c r="J10">
        <f>J7+J8+J9</f>
        <v>3</v>
      </c>
    </row>
    <row r="11" spans="1:10" x14ac:dyDescent="0.25">
      <c r="C11" t="s">
        <v>18</v>
      </c>
      <c r="H11">
        <v>7</v>
      </c>
    </row>
    <row r="12" spans="1:10" x14ac:dyDescent="0.25">
      <c r="H12">
        <f>AVERAGE(H7,H8,H9,H10,H11)</f>
        <v>7.8</v>
      </c>
    </row>
    <row r="13" spans="1:10" x14ac:dyDescent="0.25">
      <c r="C13" t="s">
        <v>19</v>
      </c>
    </row>
    <row r="14" spans="1:10" x14ac:dyDescent="0.25">
      <c r="G14" s="7" t="s">
        <v>12</v>
      </c>
      <c r="H14" s="7"/>
      <c r="I14" s="7" t="s">
        <v>13</v>
      </c>
      <c r="J14" s="7" t="str">
        <f>IF(H14="Rojo","Color Rojo","No es Rojo")</f>
        <v>No es Rojo</v>
      </c>
    </row>
    <row r="17" spans="1:8" x14ac:dyDescent="0.25">
      <c r="A17" s="7" t="s">
        <v>20</v>
      </c>
      <c r="B17" s="7" t="s">
        <v>21</v>
      </c>
      <c r="C17" s="9" t="s">
        <v>22</v>
      </c>
      <c r="D17" s="10" t="s">
        <v>23</v>
      </c>
    </row>
    <row r="18" spans="1:8" x14ac:dyDescent="0.25">
      <c r="C18" s="7" t="s">
        <v>24</v>
      </c>
      <c r="D18" s="7" t="s">
        <v>25</v>
      </c>
    </row>
    <row r="21" spans="1:8" x14ac:dyDescent="0.25">
      <c r="A21" s="13" t="s">
        <v>26</v>
      </c>
      <c r="B21" s="14">
        <v>0.16</v>
      </c>
      <c r="C21" s="15"/>
    </row>
    <row r="22" spans="1:8" x14ac:dyDescent="0.25">
      <c r="A22" s="16"/>
      <c r="B22" s="17"/>
      <c r="C22" s="15"/>
    </row>
    <row r="23" spans="1:8" x14ac:dyDescent="0.25">
      <c r="A23" s="13" t="s">
        <v>33</v>
      </c>
      <c r="B23" s="13" t="s">
        <v>34</v>
      </c>
      <c r="C23" s="13" t="s">
        <v>35</v>
      </c>
      <c r="E23" s="13" t="s">
        <v>33</v>
      </c>
      <c r="F23" s="13" t="s">
        <v>36</v>
      </c>
      <c r="G23" s="13" t="s">
        <v>37</v>
      </c>
      <c r="H23" s="18" t="s">
        <v>38</v>
      </c>
    </row>
    <row r="24" spans="1:8" x14ac:dyDescent="0.25">
      <c r="A24" s="7" t="s">
        <v>27</v>
      </c>
      <c r="B24" s="11">
        <v>15</v>
      </c>
      <c r="C24" s="12">
        <f>B24+(B24*B$21)</f>
        <v>17.399999999999999</v>
      </c>
      <c r="E24" s="7" t="s">
        <v>27</v>
      </c>
      <c r="F24" s="11">
        <v>15</v>
      </c>
      <c r="G24" s="19">
        <v>2</v>
      </c>
      <c r="H24" s="11">
        <f>F24*G24</f>
        <v>30</v>
      </c>
    </row>
    <row r="25" spans="1:8" x14ac:dyDescent="0.25">
      <c r="A25" s="7" t="s">
        <v>28</v>
      </c>
      <c r="B25" s="11">
        <v>12</v>
      </c>
      <c r="C25" s="12">
        <f>B25+(B25*B$21)</f>
        <v>13.92</v>
      </c>
      <c r="E25" s="7" t="s">
        <v>28</v>
      </c>
      <c r="F25" s="11">
        <v>12</v>
      </c>
      <c r="G25" s="19">
        <v>4</v>
      </c>
      <c r="H25" s="11">
        <f t="shared" ref="H25:H29" si="0">F25*G25</f>
        <v>48</v>
      </c>
    </row>
    <row r="26" spans="1:8" x14ac:dyDescent="0.25">
      <c r="A26" s="7" t="s">
        <v>29</v>
      </c>
      <c r="B26" s="11">
        <v>20</v>
      </c>
      <c r="C26" s="12">
        <f t="shared" ref="C25:C29" si="1">B26+(B26*B$21)</f>
        <v>23.2</v>
      </c>
      <c r="E26" s="7" t="s">
        <v>29</v>
      </c>
      <c r="F26" s="11">
        <v>20</v>
      </c>
      <c r="G26" s="19">
        <v>1</v>
      </c>
      <c r="H26" s="11">
        <f t="shared" si="0"/>
        <v>20</v>
      </c>
    </row>
    <row r="27" spans="1:8" x14ac:dyDescent="0.25">
      <c r="A27" s="7" t="s">
        <v>30</v>
      </c>
      <c r="B27" s="11">
        <v>32</v>
      </c>
      <c r="C27" s="12">
        <f t="shared" si="1"/>
        <v>37.119999999999997</v>
      </c>
      <c r="E27" s="7" t="s">
        <v>30</v>
      </c>
      <c r="F27" s="11">
        <v>32</v>
      </c>
      <c r="G27" s="19">
        <v>3</v>
      </c>
      <c r="H27" s="11">
        <f t="shared" si="0"/>
        <v>96</v>
      </c>
    </row>
    <row r="28" spans="1:8" x14ac:dyDescent="0.25">
      <c r="A28" s="7" t="s">
        <v>31</v>
      </c>
      <c r="B28" s="11">
        <v>55</v>
      </c>
      <c r="C28" s="12">
        <f t="shared" si="1"/>
        <v>63.8</v>
      </c>
      <c r="E28" s="7" t="s">
        <v>31</v>
      </c>
      <c r="F28" s="11">
        <v>55</v>
      </c>
      <c r="G28" s="19">
        <v>1</v>
      </c>
      <c r="H28" s="11">
        <f t="shared" si="0"/>
        <v>55</v>
      </c>
    </row>
    <row r="29" spans="1:8" x14ac:dyDescent="0.25">
      <c r="A29" s="7" t="s">
        <v>32</v>
      </c>
      <c r="B29" s="11">
        <v>100</v>
      </c>
      <c r="C29" s="12">
        <f t="shared" si="1"/>
        <v>116</v>
      </c>
      <c r="E29" s="7" t="s">
        <v>32</v>
      </c>
      <c r="F29" s="11">
        <v>100</v>
      </c>
      <c r="G29" s="19">
        <v>2</v>
      </c>
      <c r="H29" s="11">
        <f t="shared" si="0"/>
        <v>200</v>
      </c>
    </row>
    <row r="32" spans="1:8" x14ac:dyDescent="0.25">
      <c r="A32" t="s">
        <v>20</v>
      </c>
      <c r="B32" s="5" t="s">
        <v>39</v>
      </c>
      <c r="C32" t="s">
        <v>40</v>
      </c>
    </row>
    <row r="34" spans="1:8" x14ac:dyDescent="0.25">
      <c r="A34" s="10" t="s">
        <v>26</v>
      </c>
      <c r="B34" s="20">
        <v>0.16</v>
      </c>
      <c r="C34" s="5"/>
      <c r="F34" t="s">
        <v>41</v>
      </c>
    </row>
    <row r="35" spans="1:8" x14ac:dyDescent="0.25">
      <c r="A35" s="21"/>
      <c r="B35" s="22"/>
      <c r="C35" s="5"/>
      <c r="F35" t="s">
        <v>42</v>
      </c>
    </row>
    <row r="36" spans="1:8" x14ac:dyDescent="0.25">
      <c r="A36" s="10" t="s">
        <v>33</v>
      </c>
      <c r="B36" s="10" t="s">
        <v>34</v>
      </c>
      <c r="C36" s="10" t="s">
        <v>35</v>
      </c>
      <c r="F36" s="23" t="s">
        <v>43</v>
      </c>
    </row>
    <row r="37" spans="1:8" x14ac:dyDescent="0.25">
      <c r="A37" s="7" t="s">
        <v>27</v>
      </c>
      <c r="B37" s="11">
        <v>15</v>
      </c>
      <c r="C37" s="12">
        <f>B37+(B37*iva)</f>
        <v>17.399999999999999</v>
      </c>
      <c r="F37" t="s">
        <v>44</v>
      </c>
    </row>
    <row r="38" spans="1:8" x14ac:dyDescent="0.25">
      <c r="A38" s="7" t="s">
        <v>28</v>
      </c>
      <c r="B38" s="11">
        <v>12</v>
      </c>
      <c r="C38" s="12">
        <f>B38+(B38*iva)</f>
        <v>13.92</v>
      </c>
      <c r="F38" t="s">
        <v>45</v>
      </c>
    </row>
    <row r="39" spans="1:8" x14ac:dyDescent="0.25">
      <c r="A39" s="7" t="s">
        <v>29</v>
      </c>
      <c r="B39" s="11">
        <v>20</v>
      </c>
      <c r="C39" s="12">
        <f>B39+(B39*iva)</f>
        <v>23.2</v>
      </c>
    </row>
    <row r="40" spans="1:8" x14ac:dyDescent="0.25">
      <c r="A40" s="7" t="s">
        <v>30</v>
      </c>
      <c r="B40" s="11">
        <v>32</v>
      </c>
      <c r="C40" s="12">
        <f>B40+(B40*iva)</f>
        <v>37.119999999999997</v>
      </c>
      <c r="F40" s="3" t="s">
        <v>46</v>
      </c>
    </row>
    <row r="41" spans="1:8" x14ac:dyDescent="0.25">
      <c r="A41" s="7" t="s">
        <v>31</v>
      </c>
      <c r="B41" s="11">
        <v>55</v>
      </c>
      <c r="C41" s="12">
        <f>B41+(B41*iva)</f>
        <v>63.8</v>
      </c>
      <c r="F41" s="4" t="s">
        <v>47</v>
      </c>
    </row>
    <row r="42" spans="1:8" x14ac:dyDescent="0.25">
      <c r="A42" s="7" t="s">
        <v>32</v>
      </c>
      <c r="B42" s="11">
        <v>100</v>
      </c>
      <c r="C42" s="12">
        <f>B42+(B42*iva)</f>
        <v>116</v>
      </c>
    </row>
    <row r="44" spans="1:8" x14ac:dyDescent="0.25">
      <c r="A44" t="s">
        <v>48</v>
      </c>
      <c r="B44" s="11">
        <v>50</v>
      </c>
      <c r="C44" s="11">
        <f>impue1+100</f>
        <v>150</v>
      </c>
    </row>
    <row r="46" spans="1:8" x14ac:dyDescent="0.25">
      <c r="A46" s="7" t="s">
        <v>49</v>
      </c>
      <c r="B46" s="7" t="s">
        <v>50</v>
      </c>
      <c r="C46" s="7" t="s">
        <v>49</v>
      </c>
      <c r="D46" s="24" t="s">
        <v>54</v>
      </c>
      <c r="F46" s="7" t="s">
        <v>55</v>
      </c>
      <c r="G46" s="7" t="s">
        <v>56</v>
      </c>
      <c r="H46" s="24"/>
    </row>
    <row r="47" spans="1:8" x14ac:dyDescent="0.25">
      <c r="B47" s="7" t="s">
        <v>51</v>
      </c>
      <c r="G47" s="7" t="s">
        <v>57</v>
      </c>
    </row>
    <row r="48" spans="1:8" x14ac:dyDescent="0.25">
      <c r="B48" s="7" t="s">
        <v>52</v>
      </c>
      <c r="G48" s="7" t="s">
        <v>58</v>
      </c>
    </row>
    <row r="49" spans="1:7" x14ac:dyDescent="0.25">
      <c r="B49" s="7" t="s">
        <v>54</v>
      </c>
      <c r="G49" s="7" t="s">
        <v>59</v>
      </c>
    </row>
    <row r="50" spans="1:7" x14ac:dyDescent="0.25">
      <c r="B50" s="7" t="s">
        <v>53</v>
      </c>
      <c r="G50" s="7" t="s">
        <v>60</v>
      </c>
    </row>
    <row r="54" spans="1:7" x14ac:dyDescent="0.25">
      <c r="A54" s="25" t="s">
        <v>61</v>
      </c>
      <c r="B54" s="7" t="s">
        <v>69</v>
      </c>
      <c r="C54" s="7" t="s">
        <v>20</v>
      </c>
      <c r="D54" s="26" t="s">
        <v>13</v>
      </c>
      <c r="E54" s="28" t="s">
        <v>13</v>
      </c>
    </row>
    <row r="55" spans="1:7" x14ac:dyDescent="0.25">
      <c r="A55" s="25" t="s">
        <v>62</v>
      </c>
      <c r="B55" s="7" t="s">
        <v>5</v>
      </c>
      <c r="C55" s="7">
        <v>2</v>
      </c>
      <c r="D55" s="27">
        <f>(2*C55)+(3*C56)</f>
        <v>19</v>
      </c>
      <c r="E55" s="10"/>
    </row>
    <row r="56" spans="1:7" x14ac:dyDescent="0.25">
      <c r="A56" s="25" t="s">
        <v>63</v>
      </c>
      <c r="B56" s="7" t="s">
        <v>6</v>
      </c>
      <c r="C56" s="7">
        <v>5</v>
      </c>
      <c r="D56" s="27">
        <f>((2*C55)*((3*C59)-4))+5</f>
        <v>85</v>
      </c>
      <c r="E56" s="10">
        <f>2*A*(3*VAR_C-4)+5</f>
        <v>85</v>
      </c>
    </row>
    <row r="57" spans="1:7" x14ac:dyDescent="0.25">
      <c r="A57" s="25" t="s">
        <v>64</v>
      </c>
      <c r="B57" s="7" t="s">
        <v>66</v>
      </c>
      <c r="C57" s="7">
        <v>3</v>
      </c>
      <c r="D57" s="27">
        <f>((4*C56+40)/2)</f>
        <v>30</v>
      </c>
      <c r="E57" s="10"/>
    </row>
    <row r="58" spans="1:7" x14ac:dyDescent="0.25">
      <c r="A58" s="25" t="s">
        <v>65</v>
      </c>
      <c r="B58" s="7" t="s">
        <v>67</v>
      </c>
      <c r="C58" s="7">
        <v>10</v>
      </c>
      <c r="D58" s="27">
        <f>2*C57+4*C58+(C55/2)</f>
        <v>47</v>
      </c>
      <c r="E58" s="10"/>
    </row>
    <row r="59" spans="1:7" x14ac:dyDescent="0.25">
      <c r="A59" s="7" t="s">
        <v>70</v>
      </c>
      <c r="B59" s="7" t="s">
        <v>68</v>
      </c>
      <c r="C59" s="7">
        <v>8</v>
      </c>
      <c r="D59" s="27">
        <f>40-C55+C56+C59</f>
        <v>51</v>
      </c>
      <c r="E59" s="10"/>
    </row>
    <row r="62" spans="1:7" x14ac:dyDescent="0.25">
      <c r="A62" t="s">
        <v>71</v>
      </c>
      <c r="B62" t="s">
        <v>72</v>
      </c>
    </row>
    <row r="63" spans="1:7" x14ac:dyDescent="0.25">
      <c r="B63" t="s">
        <v>73</v>
      </c>
    </row>
    <row r="65" spans="2:8" x14ac:dyDescent="0.25">
      <c r="B65" t="s">
        <v>74</v>
      </c>
      <c r="C65" t="s">
        <v>75</v>
      </c>
      <c r="D65" t="s">
        <v>77</v>
      </c>
    </row>
    <row r="66" spans="2:8" x14ac:dyDescent="0.25">
      <c r="C66" t="s">
        <v>76</v>
      </c>
      <c r="D66" t="s">
        <v>78</v>
      </c>
      <c r="H66" s="29">
        <v>1</v>
      </c>
    </row>
    <row r="67" spans="2:8" x14ac:dyDescent="0.25">
      <c r="C67" t="s">
        <v>79</v>
      </c>
      <c r="D67" t="s">
        <v>80</v>
      </c>
      <c r="H67" s="29">
        <v>1</v>
      </c>
    </row>
    <row r="68" spans="2:8" x14ac:dyDescent="0.25">
      <c r="C68" t="s">
        <v>82</v>
      </c>
      <c r="D68" t="s">
        <v>83</v>
      </c>
      <c r="H68" s="29">
        <v>1</v>
      </c>
    </row>
    <row r="69" spans="2:8" x14ac:dyDescent="0.25">
      <c r="B69" t="s">
        <v>81</v>
      </c>
      <c r="H69" s="29">
        <v>1</v>
      </c>
    </row>
    <row r="70" spans="2:8" x14ac:dyDescent="0.25">
      <c r="H70" s="29">
        <v>1</v>
      </c>
    </row>
    <row r="71" spans="2:8" x14ac:dyDescent="0.25">
      <c r="H71" s="29">
        <v>1</v>
      </c>
    </row>
    <row r="72" spans="2:8" x14ac:dyDescent="0.25">
      <c r="H72" s="7">
        <f>SUM(mivar1:mivar2)</f>
        <v>6</v>
      </c>
    </row>
    <row r="73" spans="2:8" x14ac:dyDescent="0.25">
      <c r="H73" s="7">
        <f>SUM(H66:H71)</f>
        <v>6</v>
      </c>
    </row>
  </sheetData>
  <mergeCells count="1">
    <mergeCell ref="A1:F2"/>
  </mergeCells>
  <dataValidations count="2">
    <dataValidation type="list" allowBlank="1" showInputMessage="1" showErrorMessage="1" sqref="D46">
      <formula1>mispaises</formula1>
    </dataValidation>
    <dataValidation type="list" allowBlank="1" showInputMessage="1" showErrorMessage="1" sqref="H46">
      <formula1>misfrutas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11</vt:i4>
      </vt:variant>
    </vt:vector>
  </HeadingPairs>
  <TitlesOfParts>
    <vt:vector size="12" baseType="lpstr">
      <vt:lpstr>Hoja1</vt:lpstr>
      <vt:lpstr>A</vt:lpstr>
      <vt:lpstr>B</vt:lpstr>
      <vt:lpstr>impue1</vt:lpstr>
      <vt:lpstr>iva</vt:lpstr>
      <vt:lpstr>misfrutas</vt:lpstr>
      <vt:lpstr>mispaises</vt:lpstr>
      <vt:lpstr>mivar1</vt:lpstr>
      <vt:lpstr>mivar2</vt:lpstr>
      <vt:lpstr>VAR_C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2021-10-11T22:03:04Z</dcterms:created>
  <dcterms:modified xsi:type="dcterms:W3CDTF">2021-10-11T23:59:19Z</dcterms:modified>
</cp:coreProperties>
</file>