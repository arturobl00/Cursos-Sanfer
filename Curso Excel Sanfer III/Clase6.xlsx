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11490" windowHeight="4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7" i="1" l="1"/>
  <c r="AH28" i="1"/>
  <c r="AH29" i="1"/>
  <c r="AH30" i="1"/>
  <c r="AH31" i="1"/>
  <c r="AH32" i="1"/>
  <c r="AH33" i="1"/>
  <c r="AH34" i="1"/>
  <c r="AH35" i="1"/>
  <c r="AH36" i="1"/>
  <c r="AH37" i="1"/>
  <c r="E23" i="1"/>
  <c r="AE27" i="1"/>
  <c r="AE29" i="1"/>
  <c r="AE30" i="1"/>
  <c r="AE31" i="1"/>
  <c r="AE32" i="1"/>
  <c r="AE33" i="1"/>
  <c r="AE34" i="1"/>
  <c r="AE35" i="1"/>
  <c r="AE36" i="1"/>
  <c r="AE37" i="1"/>
  <c r="AE28" i="1"/>
  <c r="AB28" i="1"/>
  <c r="AB29" i="1"/>
  <c r="AB30" i="1"/>
  <c r="AB31" i="1"/>
  <c r="AB32" i="1"/>
  <c r="AB33" i="1"/>
  <c r="AB34" i="1"/>
  <c r="AB35" i="1"/>
  <c r="AB36" i="1"/>
  <c r="AB37" i="1"/>
  <c r="AB27" i="1"/>
  <c r="X27" i="1"/>
  <c r="X28" i="1"/>
  <c r="X29" i="1"/>
  <c r="X30" i="1"/>
  <c r="X31" i="1"/>
  <c r="X32" i="1"/>
  <c r="X33" i="1"/>
  <c r="X34" i="1"/>
  <c r="X35" i="1"/>
  <c r="X36" i="1"/>
  <c r="X37" i="1"/>
  <c r="J27" i="1"/>
  <c r="T28" i="1"/>
  <c r="T29" i="1"/>
  <c r="T30" i="1"/>
  <c r="T31" i="1"/>
  <c r="T32" i="1"/>
  <c r="T33" i="1"/>
  <c r="T34" i="1"/>
  <c r="T35" i="1"/>
  <c r="T36" i="1"/>
  <c r="T37" i="1"/>
  <c r="T27" i="1"/>
  <c r="Q28" i="1"/>
  <c r="Q29" i="1"/>
  <c r="Q30" i="1"/>
  <c r="Q31" i="1"/>
  <c r="Q32" i="1"/>
  <c r="Q33" i="1"/>
  <c r="Q34" i="1"/>
  <c r="Q35" i="1"/>
  <c r="Q36" i="1"/>
  <c r="Q37" i="1"/>
  <c r="Q27" i="1"/>
  <c r="N28" i="1"/>
  <c r="N29" i="1"/>
  <c r="N30" i="1"/>
  <c r="N31" i="1"/>
  <c r="N32" i="1"/>
  <c r="N33" i="1"/>
  <c r="N34" i="1"/>
  <c r="N35" i="1"/>
  <c r="N36" i="1"/>
  <c r="N37" i="1"/>
  <c r="N27" i="1"/>
  <c r="M28" i="1"/>
  <c r="M29" i="1"/>
  <c r="M30" i="1"/>
  <c r="M31" i="1"/>
  <c r="M32" i="1"/>
  <c r="M33" i="1"/>
  <c r="M34" i="1"/>
  <c r="M35" i="1"/>
  <c r="M36" i="1"/>
  <c r="M37" i="1"/>
  <c r="M27" i="1"/>
  <c r="J28" i="1"/>
  <c r="J29" i="1"/>
  <c r="J30" i="1"/>
  <c r="J31" i="1"/>
  <c r="J32" i="1"/>
  <c r="J33" i="1"/>
  <c r="J34" i="1"/>
  <c r="J35" i="1"/>
  <c r="J36" i="1"/>
  <c r="J37" i="1"/>
  <c r="I27" i="1"/>
  <c r="I28" i="1"/>
  <c r="I29" i="1"/>
  <c r="I30" i="1"/>
  <c r="I31" i="1"/>
  <c r="I32" i="1"/>
  <c r="I33" i="1"/>
  <c r="I34" i="1"/>
  <c r="I35" i="1"/>
  <c r="I36" i="1"/>
  <c r="I37" i="1"/>
  <c r="E27" i="1"/>
  <c r="E37" i="1"/>
  <c r="E28" i="1"/>
  <c r="E29" i="1"/>
  <c r="E30" i="1"/>
  <c r="E31" i="1"/>
  <c r="E32" i="1"/>
  <c r="E33" i="1"/>
  <c r="E34" i="1"/>
  <c r="E35" i="1"/>
  <c r="E36" i="1"/>
  <c r="T23" i="1"/>
  <c r="S23" i="1"/>
  <c r="U23" i="1" s="1"/>
  <c r="L23" i="1"/>
  <c r="K23" i="1"/>
  <c r="P23" i="1"/>
  <c r="O23" i="1"/>
  <c r="Q23" i="1" s="1"/>
  <c r="M23" i="1" l="1"/>
  <c r="H23" i="1"/>
  <c r="G23" i="1"/>
  <c r="I23" i="1" s="1"/>
  <c r="D23" i="1"/>
  <c r="C23" i="1"/>
</calcChain>
</file>

<file path=xl/sharedStrings.xml><?xml version="1.0" encoding="utf-8"?>
<sst xmlns="http://schemas.openxmlformats.org/spreadsheetml/2006/main" count="174" uniqueCount="81">
  <si>
    <t>Bloque 2 - Procesos - Funciones</t>
  </si>
  <si>
    <t>Números</t>
  </si>
  <si>
    <t>Textos</t>
  </si>
  <si>
    <t>Tiempo</t>
  </si>
  <si>
    <t>Suma</t>
  </si>
  <si>
    <t>Promedio</t>
  </si>
  <si>
    <t>Contar</t>
  </si>
  <si>
    <t>Max</t>
  </si>
  <si>
    <t>Min</t>
  </si>
  <si>
    <t>Concatenar</t>
  </si>
  <si>
    <t>Izquierda</t>
  </si>
  <si>
    <t>Largo</t>
  </si>
  <si>
    <t>Mayuscula</t>
  </si>
  <si>
    <t>Minusculo</t>
  </si>
  <si>
    <t>NombrePropio</t>
  </si>
  <si>
    <t>Hallar</t>
  </si>
  <si>
    <t>arturo</t>
  </si>
  <si>
    <t>pedro</t>
  </si>
  <si>
    <t>angel</t>
  </si>
  <si>
    <t>ana</t>
  </si>
  <si>
    <t>maria</t>
  </si>
  <si>
    <t>sandra</t>
  </si>
  <si>
    <t>romina</t>
  </si>
  <si>
    <t>felipe</t>
  </si>
  <si>
    <t>andres</t>
  </si>
  <si>
    <t>guadalupe</t>
  </si>
  <si>
    <t>jimena</t>
  </si>
  <si>
    <t>@gsanfer.com</t>
  </si>
  <si>
    <t>Extrae</t>
  </si>
  <si>
    <t>bustamante</t>
  </si>
  <si>
    <t>hernandez</t>
  </si>
  <si>
    <t>lopez</t>
  </si>
  <si>
    <t>perez</t>
  </si>
  <si>
    <t>gamez</t>
  </si>
  <si>
    <t>ruiz</t>
  </si>
  <si>
    <t>aldama</t>
  </si>
  <si>
    <t>rotario</t>
  </si>
  <si>
    <t>contreras</t>
  </si>
  <si>
    <t>merino</t>
  </si>
  <si>
    <t>diaz</t>
  </si>
  <si>
    <t>Mayúscula</t>
  </si>
  <si>
    <t>Minúscula</t>
  </si>
  <si>
    <t>arturo bustamante</t>
  </si>
  <si>
    <t>ARTURO BUSTAMANTE</t>
  </si>
  <si>
    <t>PEDRO</t>
  </si>
  <si>
    <t>ANGEL</t>
  </si>
  <si>
    <t>ANA</t>
  </si>
  <si>
    <t>MARIA</t>
  </si>
  <si>
    <t>SANDRA</t>
  </si>
  <si>
    <t>ROMINA</t>
  </si>
  <si>
    <t>FELIPE</t>
  </si>
  <si>
    <t>ANDRES</t>
  </si>
  <si>
    <t>GUADALUPE</t>
  </si>
  <si>
    <t>JIMENA</t>
  </si>
  <si>
    <t>ARTURO</t>
  </si>
  <si>
    <t>BUSTAMANTE</t>
  </si>
  <si>
    <t>HERNANDEZ</t>
  </si>
  <si>
    <t>LOPEZ</t>
  </si>
  <si>
    <t>PEREZ</t>
  </si>
  <si>
    <t>GAMEZ</t>
  </si>
  <si>
    <t>RUIZ</t>
  </si>
  <si>
    <t>ALDAMA</t>
  </si>
  <si>
    <t>ROTARIO</t>
  </si>
  <si>
    <t>CONTRERAS</t>
  </si>
  <si>
    <t>DIAZ</t>
  </si>
  <si>
    <t>MERINO</t>
  </si>
  <si>
    <t>EJEMPLO</t>
  </si>
  <si>
    <t>NOMBRE PROPIO</t>
  </si>
  <si>
    <t>HALLAR</t>
  </si>
  <si>
    <t>arturo.bustamante@sanfer.com</t>
  </si>
  <si>
    <t>pedro.hernandez@sanfer.com</t>
  </si>
  <si>
    <t>angel.lopez@sanfer.com</t>
  </si>
  <si>
    <t>ana.perez@sanfer.com</t>
  </si>
  <si>
    <t>maria.gamez@sanfer.com</t>
  </si>
  <si>
    <t>sandra.ruiz@sanfer.com</t>
  </si>
  <si>
    <t>romina.aldama@sanfer.com</t>
  </si>
  <si>
    <t>felipe.rotario@sanfer.com</t>
  </si>
  <si>
    <t>andres.contreras@sanfer.com</t>
  </si>
  <si>
    <t>guadalupe.diaz@sanfer.com</t>
  </si>
  <si>
    <t>jimena.merino@sanfer.com</t>
  </si>
  <si>
    <t>EXTRAE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</si>
</sst>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49" fontId="0" fillId="0" borderId="1" xfId="0" applyNumberFormat="1" applyBorder="1"/>
    <xf numFmtId="0" fontId="0" fillId="0" borderId="1" xfId="0" applyNumberFormat="1" applyBorder="1"/>
    <xf numFmtId="0" fontId="0" fillId="5" borderId="2" xfId="0" applyFill="1" applyBorder="1"/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"/>
  <sheetViews>
    <sheetView tabSelected="1" zoomScale="166" zoomScaleNormal="166" workbookViewId="0">
      <selection activeCell="E29" sqref="E29"/>
    </sheetView>
  </sheetViews>
  <sheetFormatPr baseColWidth="10" defaultRowHeight="15" x14ac:dyDescent="0.25"/>
  <cols>
    <col min="1" max="1" width="14" customWidth="1"/>
    <col min="4" max="4" width="14" customWidth="1"/>
    <col min="5" max="5" width="23.28515625" bestFit="1" customWidth="1"/>
    <col min="7" max="7" width="12.7109375" bestFit="1" customWidth="1"/>
    <col min="8" max="8" width="13.7109375" bestFit="1" customWidth="1"/>
    <col min="9" max="9" width="9.42578125" customWidth="1"/>
    <col min="10" max="10" width="32.28515625" bestFit="1" customWidth="1"/>
    <col min="12" max="12" width="11.85546875" bestFit="1" customWidth="1"/>
    <col min="15" max="15" width="11.85546875" bestFit="1" customWidth="1"/>
    <col min="16" max="16" width="22" customWidth="1"/>
    <col min="17" max="17" width="21" bestFit="1" customWidth="1"/>
    <col min="19" max="19" width="21" bestFit="1" customWidth="1"/>
    <col min="20" max="20" width="17.5703125" bestFit="1" customWidth="1"/>
    <col min="23" max="23" width="13.140625" bestFit="1" customWidth="1"/>
    <col min="24" max="24" width="29.7109375" bestFit="1" customWidth="1"/>
    <col min="26" max="26" width="11.7109375" bestFit="1" customWidth="1"/>
    <col min="27" max="27" width="13.140625" bestFit="1" customWidth="1"/>
    <col min="28" max="28" width="17.85546875" bestFit="1" customWidth="1"/>
    <col min="30" max="30" width="30.140625" bestFit="1" customWidth="1"/>
    <col min="31" max="31" width="17.7109375" bestFit="1" customWidth="1"/>
    <col min="33" max="33" width="29.7109375" bestFit="1" customWidth="1"/>
  </cols>
  <sheetData>
    <row r="1" spans="1:21" x14ac:dyDescent="0.25">
      <c r="A1" s="1" t="s">
        <v>0</v>
      </c>
      <c r="B1" s="1"/>
      <c r="C1" s="1"/>
      <c r="D1" s="1"/>
      <c r="E1" s="1"/>
      <c r="F1" s="1"/>
    </row>
    <row r="2" spans="1:21" x14ac:dyDescent="0.25">
      <c r="A2" s="1"/>
      <c r="B2" s="1"/>
      <c r="C2" s="1"/>
      <c r="D2" s="1"/>
      <c r="E2" s="1"/>
      <c r="F2" s="1"/>
    </row>
    <row r="4" spans="1:21" x14ac:dyDescent="0.25">
      <c r="A4" s="6" t="s">
        <v>1</v>
      </c>
    </row>
    <row r="5" spans="1:21" x14ac:dyDescent="0.25">
      <c r="A5" s="8" t="s">
        <v>2</v>
      </c>
    </row>
    <row r="6" spans="1:21" x14ac:dyDescent="0.25">
      <c r="A6" s="2" t="s">
        <v>3</v>
      </c>
    </row>
    <row r="7" spans="1:21" x14ac:dyDescent="0.25">
      <c r="C7" s="7" t="s">
        <v>4</v>
      </c>
      <c r="D7" s="7"/>
      <c r="E7" s="7"/>
      <c r="G7" s="7" t="s">
        <v>5</v>
      </c>
      <c r="H7" s="7"/>
      <c r="I7" s="7"/>
      <c r="K7" s="7" t="s">
        <v>6</v>
      </c>
      <c r="L7" s="7"/>
      <c r="M7" s="7"/>
      <c r="O7" s="7" t="s">
        <v>7</v>
      </c>
      <c r="P7" s="7"/>
      <c r="Q7" s="7"/>
      <c r="S7" s="7" t="s">
        <v>7</v>
      </c>
      <c r="T7" s="7"/>
      <c r="U7" s="7"/>
    </row>
    <row r="8" spans="1:21" x14ac:dyDescent="0.25">
      <c r="A8" s="6" t="s">
        <v>4</v>
      </c>
      <c r="C8" s="2">
        <v>1</v>
      </c>
      <c r="D8" s="2">
        <v>1</v>
      </c>
      <c r="E8" s="2">
        <v>1</v>
      </c>
      <c r="G8" s="2">
        <v>1</v>
      </c>
      <c r="H8" s="2">
        <v>1</v>
      </c>
      <c r="I8" s="2">
        <v>1</v>
      </c>
      <c r="K8" s="2">
        <v>1</v>
      </c>
      <c r="L8" s="2">
        <v>1</v>
      </c>
      <c r="M8" s="2">
        <v>1</v>
      </c>
      <c r="O8" s="2">
        <v>20</v>
      </c>
      <c r="P8" s="2">
        <v>1</v>
      </c>
      <c r="Q8" s="2">
        <v>1</v>
      </c>
      <c r="S8" s="2">
        <v>20</v>
      </c>
      <c r="T8" s="2">
        <v>1</v>
      </c>
      <c r="U8" s="2">
        <v>1</v>
      </c>
    </row>
    <row r="9" spans="1:21" x14ac:dyDescent="0.25">
      <c r="A9" s="6" t="s">
        <v>5</v>
      </c>
      <c r="C9" s="2">
        <v>1</v>
      </c>
      <c r="D9" s="2">
        <v>1</v>
      </c>
      <c r="E9" s="2">
        <v>1</v>
      </c>
      <c r="G9" s="2">
        <v>2</v>
      </c>
      <c r="H9" s="2">
        <v>2</v>
      </c>
      <c r="I9" s="2">
        <v>2</v>
      </c>
      <c r="K9" s="2">
        <v>2</v>
      </c>
      <c r="L9" s="2">
        <v>2</v>
      </c>
      <c r="M9" s="2">
        <v>2</v>
      </c>
      <c r="O9" s="2">
        <v>2</v>
      </c>
      <c r="P9" s="2">
        <v>2</v>
      </c>
      <c r="Q9" s="2">
        <v>2</v>
      </c>
      <c r="S9" s="2">
        <v>2</v>
      </c>
      <c r="T9" s="2">
        <v>2</v>
      </c>
      <c r="U9" s="2">
        <v>2</v>
      </c>
    </row>
    <row r="10" spans="1:21" x14ac:dyDescent="0.25">
      <c r="A10" s="6" t="s">
        <v>6</v>
      </c>
      <c r="C10" s="2">
        <v>1</v>
      </c>
      <c r="D10" s="2">
        <v>1</v>
      </c>
      <c r="E10" s="2">
        <v>1</v>
      </c>
      <c r="G10" s="2">
        <v>3</v>
      </c>
      <c r="H10" s="2">
        <v>3</v>
      </c>
      <c r="I10" s="2">
        <v>3</v>
      </c>
      <c r="K10" s="2">
        <v>3</v>
      </c>
      <c r="L10" s="2">
        <v>3</v>
      </c>
      <c r="M10" s="2">
        <v>3</v>
      </c>
      <c r="O10" s="2">
        <v>3</v>
      </c>
      <c r="P10" s="2">
        <v>3</v>
      </c>
      <c r="Q10" s="2">
        <v>3</v>
      </c>
      <c r="S10" s="2">
        <v>3</v>
      </c>
      <c r="T10" s="2">
        <v>3</v>
      </c>
      <c r="U10" s="2">
        <v>3</v>
      </c>
    </row>
    <row r="11" spans="1:21" x14ac:dyDescent="0.25">
      <c r="A11" s="6" t="s">
        <v>7</v>
      </c>
      <c r="C11" s="2">
        <v>1</v>
      </c>
      <c r="D11" s="2">
        <v>1</v>
      </c>
      <c r="E11" s="2">
        <v>1</v>
      </c>
      <c r="G11" s="2">
        <v>4</v>
      </c>
      <c r="H11" s="2">
        <v>4</v>
      </c>
      <c r="I11" s="2">
        <v>4</v>
      </c>
      <c r="K11" s="2">
        <v>4</v>
      </c>
      <c r="L11" s="2">
        <v>4</v>
      </c>
      <c r="M11" s="2">
        <v>4</v>
      </c>
      <c r="O11" s="2">
        <v>4</v>
      </c>
      <c r="P11" s="2">
        <v>4</v>
      </c>
      <c r="Q11" s="2">
        <v>4</v>
      </c>
      <c r="S11" s="2">
        <v>4</v>
      </c>
      <c r="T11" s="2">
        <v>4</v>
      </c>
      <c r="U11" s="2">
        <v>4</v>
      </c>
    </row>
    <row r="12" spans="1:21" x14ac:dyDescent="0.25">
      <c r="A12" s="6" t="s">
        <v>8</v>
      </c>
      <c r="C12" s="2">
        <v>1</v>
      </c>
      <c r="D12" s="2">
        <v>1</v>
      </c>
      <c r="E12" s="2">
        <v>1</v>
      </c>
      <c r="G12" s="2">
        <v>5</v>
      </c>
      <c r="H12" s="2">
        <v>5</v>
      </c>
      <c r="I12" s="2">
        <v>5</v>
      </c>
      <c r="K12" s="2">
        <v>5</v>
      </c>
      <c r="L12" s="2">
        <v>5</v>
      </c>
      <c r="M12" s="2">
        <v>5</v>
      </c>
      <c r="O12" s="2">
        <v>5</v>
      </c>
      <c r="P12" s="2">
        <v>5</v>
      </c>
      <c r="Q12" s="2">
        <v>5</v>
      </c>
      <c r="S12" s="2">
        <v>5</v>
      </c>
      <c r="T12" s="2">
        <v>5</v>
      </c>
      <c r="U12" s="2">
        <v>5</v>
      </c>
    </row>
    <row r="13" spans="1:21" x14ac:dyDescent="0.25">
      <c r="C13" s="2">
        <v>1</v>
      </c>
      <c r="D13" s="2">
        <v>1</v>
      </c>
      <c r="E13" s="2">
        <v>1</v>
      </c>
      <c r="G13" s="2">
        <v>6</v>
      </c>
      <c r="H13" s="2">
        <v>6</v>
      </c>
      <c r="I13" s="2">
        <v>6</v>
      </c>
      <c r="K13" s="2">
        <v>6</v>
      </c>
      <c r="L13" s="2">
        <v>6</v>
      </c>
      <c r="M13" s="2">
        <v>6</v>
      </c>
      <c r="O13" s="2">
        <v>6</v>
      </c>
      <c r="P13" s="2">
        <v>6</v>
      </c>
      <c r="Q13" s="2">
        <v>6</v>
      </c>
      <c r="S13" s="2">
        <v>6</v>
      </c>
      <c r="T13" s="2">
        <v>6</v>
      </c>
      <c r="U13" s="2">
        <v>6</v>
      </c>
    </row>
    <row r="14" spans="1:21" x14ac:dyDescent="0.25">
      <c r="C14" s="2">
        <v>1</v>
      </c>
      <c r="D14" s="2">
        <v>1</v>
      </c>
      <c r="E14" s="2">
        <v>1</v>
      </c>
      <c r="G14" s="2">
        <v>7</v>
      </c>
      <c r="H14" s="2">
        <v>7</v>
      </c>
      <c r="I14" s="2">
        <v>7</v>
      </c>
      <c r="K14" s="2">
        <v>7</v>
      </c>
      <c r="L14" s="2">
        <v>7</v>
      </c>
      <c r="M14" s="2">
        <v>7</v>
      </c>
      <c r="O14" s="2">
        <v>7</v>
      </c>
      <c r="P14" s="2">
        <v>7</v>
      </c>
      <c r="Q14" s="2">
        <v>7</v>
      </c>
      <c r="S14" s="2">
        <v>7</v>
      </c>
      <c r="T14" s="2">
        <v>7</v>
      </c>
      <c r="U14" s="2">
        <v>7</v>
      </c>
    </row>
    <row r="15" spans="1:21" x14ac:dyDescent="0.25">
      <c r="C15" s="2">
        <v>1</v>
      </c>
      <c r="D15" s="2">
        <v>1</v>
      </c>
      <c r="E15" s="2">
        <v>1</v>
      </c>
      <c r="G15" s="2">
        <v>8</v>
      </c>
      <c r="H15" s="2">
        <v>8</v>
      </c>
      <c r="I15" s="2">
        <v>8</v>
      </c>
      <c r="K15" s="2">
        <v>8</v>
      </c>
      <c r="L15" s="2">
        <v>8</v>
      </c>
      <c r="M15" s="2">
        <v>8</v>
      </c>
      <c r="O15" s="2">
        <v>8</v>
      </c>
      <c r="P15" s="2">
        <v>8</v>
      </c>
      <c r="Q15" s="2">
        <v>8</v>
      </c>
      <c r="S15" s="2">
        <v>8</v>
      </c>
      <c r="T15" s="2">
        <v>8</v>
      </c>
      <c r="U15" s="2">
        <v>8</v>
      </c>
    </row>
    <row r="16" spans="1:21" x14ac:dyDescent="0.25">
      <c r="C16" s="2">
        <v>1</v>
      </c>
      <c r="D16" s="2">
        <v>1</v>
      </c>
      <c r="E16" s="2">
        <v>1</v>
      </c>
      <c r="G16" s="2">
        <v>9</v>
      </c>
      <c r="H16" s="2">
        <v>9</v>
      </c>
      <c r="I16" s="2">
        <v>9</v>
      </c>
      <c r="K16" s="2">
        <v>9</v>
      </c>
      <c r="L16" s="2">
        <v>9</v>
      </c>
      <c r="M16" s="2">
        <v>9</v>
      </c>
      <c r="O16" s="2">
        <v>9</v>
      </c>
      <c r="P16" s="2">
        <v>9</v>
      </c>
      <c r="Q16" s="2">
        <v>9</v>
      </c>
      <c r="S16" s="2">
        <v>9</v>
      </c>
      <c r="T16" s="2">
        <v>9</v>
      </c>
      <c r="U16" s="2">
        <v>9</v>
      </c>
    </row>
    <row r="17" spans="1:34" x14ac:dyDescent="0.25">
      <c r="C17" s="2">
        <v>1</v>
      </c>
      <c r="D17" s="2">
        <v>1</v>
      </c>
      <c r="E17" s="2">
        <v>1</v>
      </c>
      <c r="G17" s="2">
        <v>10</v>
      </c>
      <c r="H17" s="2">
        <v>10</v>
      </c>
      <c r="I17" s="2">
        <v>10</v>
      </c>
      <c r="K17" s="2">
        <v>10</v>
      </c>
      <c r="L17" s="2">
        <v>10</v>
      </c>
      <c r="M17" s="2">
        <v>10</v>
      </c>
      <c r="O17" s="2">
        <v>10</v>
      </c>
      <c r="P17" s="2">
        <v>10</v>
      </c>
      <c r="Q17" s="2">
        <v>10</v>
      </c>
      <c r="S17" s="2">
        <v>10</v>
      </c>
      <c r="T17" s="2">
        <v>10</v>
      </c>
      <c r="U17" s="2">
        <v>10</v>
      </c>
    </row>
    <row r="18" spans="1:34" x14ac:dyDescent="0.25">
      <c r="C18" s="2">
        <v>1</v>
      </c>
      <c r="D18" s="2">
        <v>1</v>
      </c>
      <c r="E18" s="2">
        <v>1</v>
      </c>
      <c r="G18" s="2">
        <v>11</v>
      </c>
      <c r="H18" s="2">
        <v>11</v>
      </c>
      <c r="I18" s="2">
        <v>11</v>
      </c>
      <c r="K18" s="2">
        <v>11</v>
      </c>
      <c r="L18" s="2">
        <v>11</v>
      </c>
      <c r="M18" s="2">
        <v>11</v>
      </c>
      <c r="O18" s="2">
        <v>11</v>
      </c>
      <c r="P18" s="2">
        <v>11</v>
      </c>
      <c r="Q18" s="2">
        <v>11</v>
      </c>
      <c r="S18" s="2">
        <v>11</v>
      </c>
      <c r="T18" s="2">
        <v>11</v>
      </c>
      <c r="U18" s="2">
        <v>11</v>
      </c>
    </row>
    <row r="19" spans="1:34" x14ac:dyDescent="0.25">
      <c r="C19" s="2">
        <v>1</v>
      </c>
      <c r="D19" s="2">
        <v>1</v>
      </c>
      <c r="E19" s="2">
        <v>1</v>
      </c>
      <c r="G19" s="2">
        <v>12</v>
      </c>
      <c r="H19" s="2">
        <v>12</v>
      </c>
      <c r="I19" s="2">
        <v>12</v>
      </c>
      <c r="K19" s="2">
        <v>12</v>
      </c>
      <c r="L19" s="2">
        <v>12</v>
      </c>
      <c r="M19" s="2">
        <v>12</v>
      </c>
      <c r="O19" s="2">
        <v>12</v>
      </c>
      <c r="P19" s="2">
        <v>12</v>
      </c>
      <c r="Q19" s="2">
        <v>12</v>
      </c>
      <c r="S19" s="2">
        <v>12</v>
      </c>
      <c r="T19" s="2">
        <v>12</v>
      </c>
      <c r="U19" s="2">
        <v>12</v>
      </c>
    </row>
    <row r="20" spans="1:34" x14ac:dyDescent="0.25">
      <c r="C20" s="2">
        <v>1</v>
      </c>
      <c r="D20" s="2">
        <v>1</v>
      </c>
      <c r="E20" s="2">
        <v>1</v>
      </c>
      <c r="G20" s="2">
        <v>1</v>
      </c>
      <c r="H20" s="2">
        <v>13</v>
      </c>
      <c r="I20" s="2">
        <v>13</v>
      </c>
      <c r="K20" s="2">
        <v>13</v>
      </c>
      <c r="L20" s="2">
        <v>13</v>
      </c>
      <c r="M20" s="2">
        <v>13</v>
      </c>
      <c r="O20" s="2">
        <v>13</v>
      </c>
      <c r="P20" s="2">
        <v>13</v>
      </c>
      <c r="Q20" s="2">
        <v>13</v>
      </c>
      <c r="S20" s="2">
        <v>13</v>
      </c>
      <c r="T20" s="2">
        <v>13</v>
      </c>
      <c r="U20" s="2">
        <v>13</v>
      </c>
    </row>
    <row r="21" spans="1:34" x14ac:dyDescent="0.25">
      <c r="C21" s="2">
        <v>1</v>
      </c>
      <c r="D21" s="2">
        <v>1</v>
      </c>
      <c r="E21" s="2">
        <v>1</v>
      </c>
      <c r="G21" s="2">
        <v>14</v>
      </c>
      <c r="H21" s="2">
        <v>14</v>
      </c>
      <c r="I21" s="2">
        <v>14</v>
      </c>
      <c r="K21" s="2">
        <v>14</v>
      </c>
      <c r="L21" s="2">
        <v>14</v>
      </c>
      <c r="M21" s="2">
        <v>14</v>
      </c>
      <c r="O21" s="2">
        <v>14</v>
      </c>
      <c r="P21" s="2">
        <v>14</v>
      </c>
      <c r="Q21" s="2">
        <v>14</v>
      </c>
      <c r="S21" s="2">
        <v>14</v>
      </c>
      <c r="T21" s="2">
        <v>14</v>
      </c>
      <c r="U21" s="2">
        <v>14</v>
      </c>
    </row>
    <row r="22" spans="1:34" x14ac:dyDescent="0.25">
      <c r="C22" s="2">
        <v>1</v>
      </c>
      <c r="D22" s="2">
        <v>1</v>
      </c>
      <c r="E22" s="2">
        <v>1</v>
      </c>
      <c r="G22" s="2">
        <v>1</v>
      </c>
      <c r="H22" s="2">
        <v>15</v>
      </c>
      <c r="I22" s="2">
        <v>15</v>
      </c>
      <c r="K22" s="2">
        <v>15</v>
      </c>
      <c r="L22" s="2">
        <v>15</v>
      </c>
      <c r="M22" s="2">
        <v>15</v>
      </c>
      <c r="O22" s="2">
        <v>15</v>
      </c>
      <c r="P22" s="2">
        <v>15</v>
      </c>
      <c r="Q22" s="2">
        <v>15</v>
      </c>
      <c r="S22" s="2">
        <v>15</v>
      </c>
      <c r="T22" s="2">
        <v>15</v>
      </c>
      <c r="U22" s="2">
        <v>15</v>
      </c>
    </row>
    <row r="23" spans="1:34" x14ac:dyDescent="0.25">
      <c r="C23" s="3">
        <f>SUM(C8,C9,C10,C11,C12,C13,C14,C15,C16,C17,C18,C19,C20,C21,C22)</f>
        <v>15</v>
      </c>
      <c r="D23" s="4">
        <f>SUM(D8:D22)</f>
        <v>15</v>
      </c>
      <c r="E23" s="6">
        <f>SUM(E8:E22,C23,D8:D22,10)*100</f>
        <v>5500</v>
      </c>
      <c r="G23" s="3">
        <f>AVERAGE(G8,G9,G10,G11,G12,G13,G14,G15,G16,G17,G18,G19,G20,G21,G22)</f>
        <v>6.2666666666666666</v>
      </c>
      <c r="H23" s="4">
        <f>AVERAGE(H8:H22)</f>
        <v>8</v>
      </c>
      <c r="I23" s="6">
        <f>AVERAGE(I8:I22,G23,H8:H22,10)</f>
        <v>8.0083333333333329</v>
      </c>
      <c r="K23" s="3">
        <f>COUNT(K8,K9,K10,K11,K12,K13,K14,K15,K16,K17,K18,K19,K20,K21,K22)</f>
        <v>15</v>
      </c>
      <c r="L23" s="4">
        <f>COUNT(C8:E22,G8:I22,K8:M22,O8:Q22)</f>
        <v>180</v>
      </c>
      <c r="M23" s="6">
        <f>COUNT(M8:M22,K23,L8:L22,10)</f>
        <v>32</v>
      </c>
      <c r="O23" s="3">
        <f>MAX(O8,O9,O10,O11,O12,O13,O14,O15,O16,O17,O18,O19,O20,O21,O22)</f>
        <v>20</v>
      </c>
      <c r="P23" s="4">
        <f>MAX(P8:P22)</f>
        <v>15</v>
      </c>
      <c r="Q23" s="6">
        <f>MAX(Q8:Q22,O23,P8:P22,10)</f>
        <v>20</v>
      </c>
      <c r="S23" s="3">
        <f>MIN(S8,S9,S10,S11,S12,S13,S14,S15,S16,S17,S18,S19,S20,S21,S22)</f>
        <v>2</v>
      </c>
      <c r="T23" s="4">
        <f>MIN(T8:T22)</f>
        <v>1</v>
      </c>
      <c r="U23" s="6">
        <f>MIN(U8:U22,S23,T8:T22,0.5)</f>
        <v>0.5</v>
      </c>
    </row>
    <row r="26" spans="1:34" x14ac:dyDescent="0.25">
      <c r="A26" s="8" t="s">
        <v>9</v>
      </c>
      <c r="C26" s="12" t="s">
        <v>9</v>
      </c>
      <c r="D26" s="12"/>
      <c r="E26" s="12"/>
      <c r="G26" s="13" t="s">
        <v>10</v>
      </c>
      <c r="H26" s="14"/>
      <c r="I26" s="14"/>
      <c r="J26" s="14"/>
      <c r="L26" s="15" t="s">
        <v>11</v>
      </c>
      <c r="M26" s="16"/>
      <c r="N26" s="17"/>
      <c r="P26" s="12" t="s">
        <v>40</v>
      </c>
      <c r="Q26" s="12"/>
      <c r="S26" s="12" t="s">
        <v>41</v>
      </c>
      <c r="T26" s="12"/>
      <c r="V26" s="15" t="s">
        <v>66</v>
      </c>
      <c r="W26" s="16"/>
      <c r="X26" s="17"/>
      <c r="Z26" s="15" t="s">
        <v>67</v>
      </c>
      <c r="AA26" s="16"/>
      <c r="AB26" s="17"/>
      <c r="AD26" s="12" t="s">
        <v>68</v>
      </c>
      <c r="AE26" s="18"/>
      <c r="AG26" s="12" t="s">
        <v>80</v>
      </c>
      <c r="AH26" s="12"/>
    </row>
    <row r="27" spans="1:34" x14ac:dyDescent="0.25">
      <c r="A27" s="8" t="s">
        <v>10</v>
      </c>
      <c r="C27" s="2" t="s">
        <v>16</v>
      </c>
      <c r="D27" s="9" t="s">
        <v>27</v>
      </c>
      <c r="E27" s="10" t="str">
        <f>CONCATENATE(C27,D27)</f>
        <v>arturo@gsanfer.com</v>
      </c>
      <c r="G27" s="2" t="s">
        <v>16</v>
      </c>
      <c r="H27" s="9" t="s">
        <v>29</v>
      </c>
      <c r="I27" s="10" t="str">
        <f>LEFT(H27,3)</f>
        <v>bus</v>
      </c>
      <c r="J27" s="2" t="str">
        <f>UPPER(CONCATENATE(LEFT(G27,2),LEFT(H27,2),"@gsanfer.com"))</f>
        <v>ARBU@GSANFER.COM</v>
      </c>
      <c r="L27" s="2" t="s">
        <v>16</v>
      </c>
      <c r="M27" s="10">
        <f>LEN(L27)</f>
        <v>6</v>
      </c>
      <c r="N27" s="10">
        <f>10-LEN(L27)</f>
        <v>4</v>
      </c>
      <c r="P27" s="2" t="s">
        <v>42</v>
      </c>
      <c r="Q27" s="2" t="str">
        <f>UPPER(P27)</f>
        <v>ARTURO BUSTAMANTE</v>
      </c>
      <c r="S27" s="2" t="s">
        <v>43</v>
      </c>
      <c r="T27" s="2" t="str">
        <f>LOWER(S27)</f>
        <v>arturo bustamante</v>
      </c>
      <c r="V27" s="2" t="s">
        <v>54</v>
      </c>
      <c r="W27" s="9" t="s">
        <v>55</v>
      </c>
      <c r="X27" s="2" t="str">
        <f>LOWER(CONCATENATE(V27,".",W27,"@sanfer.com"))</f>
        <v>arturo.bustamante@sanfer.com</v>
      </c>
      <c r="Z27" s="2" t="s">
        <v>54</v>
      </c>
      <c r="AA27" s="9" t="s">
        <v>55</v>
      </c>
      <c r="AB27" s="5" t="str">
        <f>PROPER(CONCATENATE(Z27," ",AA27))</f>
        <v>Arturo Bustamante</v>
      </c>
      <c r="AD27" s="2" t="s">
        <v>69</v>
      </c>
      <c r="AE27" s="2" t="str">
        <f>LEFT(AD27,SEARCH("@",AD27)-1)</f>
        <v>arturo.bustamante</v>
      </c>
      <c r="AG27" s="2" t="s">
        <v>69</v>
      </c>
      <c r="AH27" s="2" t="str">
        <f>MID(AG27,LEN(AG27)-9,10)</f>
        <v>sanfer.com</v>
      </c>
    </row>
    <row r="28" spans="1:34" x14ac:dyDescent="0.25">
      <c r="A28" s="8" t="s">
        <v>11</v>
      </c>
      <c r="C28" s="2" t="s">
        <v>17</v>
      </c>
      <c r="D28" s="9" t="s">
        <v>27</v>
      </c>
      <c r="E28" s="10" t="str">
        <f t="shared" ref="E28:E37" si="0">CONCATENATE(C28,D28)</f>
        <v>pedro@gsanfer.com</v>
      </c>
      <c r="G28" s="2" t="s">
        <v>17</v>
      </c>
      <c r="H28" s="9" t="s">
        <v>30</v>
      </c>
      <c r="I28" s="10" t="str">
        <f t="shared" ref="I28:I37" si="1">LEFT(H28,3)</f>
        <v>her</v>
      </c>
      <c r="J28" s="2" t="str">
        <f t="shared" ref="J28:J37" si="2">CONCATENATE(LEFT(G28,2),LEFT(H28,2),"@gsanfer.com")</f>
        <v>pehe@gsanfer.com</v>
      </c>
      <c r="L28" s="2" t="s">
        <v>17</v>
      </c>
      <c r="M28" s="10">
        <f t="shared" ref="M28:M37" si="3">LEN(L28)</f>
        <v>5</v>
      </c>
      <c r="N28" s="10">
        <f t="shared" ref="N28:N37" si="4">10-LEN(L28)</f>
        <v>5</v>
      </c>
      <c r="P28" s="2" t="s">
        <v>17</v>
      </c>
      <c r="Q28" s="2" t="str">
        <f t="shared" ref="Q28:Q37" si="5">UPPER(P28)</f>
        <v>PEDRO</v>
      </c>
      <c r="S28" s="2" t="s">
        <v>44</v>
      </c>
      <c r="T28" s="2" t="str">
        <f t="shared" ref="T28:T37" si="6">LOWER(S28)</f>
        <v>pedro</v>
      </c>
      <c r="V28" s="2" t="s">
        <v>44</v>
      </c>
      <c r="W28" s="9" t="s">
        <v>56</v>
      </c>
      <c r="X28" s="2" t="str">
        <f t="shared" ref="X28:X37" si="7">LOWER(CONCATENATE(V28,".",W28,"@sanfer.com"))</f>
        <v>pedro.hernandez@sanfer.com</v>
      </c>
      <c r="Z28" s="2" t="s">
        <v>44</v>
      </c>
      <c r="AA28" s="9" t="s">
        <v>56</v>
      </c>
      <c r="AB28" s="5" t="str">
        <f t="shared" ref="AB28:AB37" si="8">PROPER(CONCATENATE(Z28," ",AA28))</f>
        <v>Pedro Hernandez</v>
      </c>
      <c r="AD28" s="2" t="s">
        <v>70</v>
      </c>
      <c r="AE28" s="2" t="str">
        <f>LEFT(AD28,SEARCH("@",AD28)-1)</f>
        <v>pedro.hernandez</v>
      </c>
      <c r="AG28" s="2" t="s">
        <v>70</v>
      </c>
      <c r="AH28" s="2" t="str">
        <f t="shared" ref="AH28:AH37" si="9">MID(AG28,LEN(AG28)-9,10)</f>
        <v>sanfer.com</v>
      </c>
    </row>
    <row r="29" spans="1:34" x14ac:dyDescent="0.25">
      <c r="A29" s="8" t="s">
        <v>12</v>
      </c>
      <c r="C29" s="2" t="s">
        <v>18</v>
      </c>
      <c r="D29" s="9" t="s">
        <v>27</v>
      </c>
      <c r="E29" s="10" t="str">
        <f t="shared" si="0"/>
        <v>angel@gsanfer.com</v>
      </c>
      <c r="G29" s="2" t="s">
        <v>18</v>
      </c>
      <c r="H29" s="9" t="s">
        <v>31</v>
      </c>
      <c r="I29" s="10" t="str">
        <f t="shared" si="1"/>
        <v>lop</v>
      </c>
      <c r="J29" s="2" t="str">
        <f t="shared" si="2"/>
        <v>anlo@gsanfer.com</v>
      </c>
      <c r="L29" s="2" t="s">
        <v>18</v>
      </c>
      <c r="M29" s="10">
        <f t="shared" si="3"/>
        <v>5</v>
      </c>
      <c r="N29" s="10">
        <f t="shared" si="4"/>
        <v>5</v>
      </c>
      <c r="P29" s="2" t="s">
        <v>18</v>
      </c>
      <c r="Q29" s="2" t="str">
        <f t="shared" si="5"/>
        <v>ANGEL</v>
      </c>
      <c r="S29" s="2" t="s">
        <v>45</v>
      </c>
      <c r="T29" s="2" t="str">
        <f t="shared" si="6"/>
        <v>angel</v>
      </c>
      <c r="V29" s="2" t="s">
        <v>45</v>
      </c>
      <c r="W29" s="9" t="s">
        <v>57</v>
      </c>
      <c r="X29" s="2" t="str">
        <f t="shared" si="7"/>
        <v>angel.lopez@sanfer.com</v>
      </c>
      <c r="Z29" s="2" t="s">
        <v>45</v>
      </c>
      <c r="AA29" s="9" t="s">
        <v>57</v>
      </c>
      <c r="AB29" s="5" t="str">
        <f t="shared" si="8"/>
        <v>Angel Lopez</v>
      </c>
      <c r="AD29" s="2" t="s">
        <v>71</v>
      </c>
      <c r="AE29" s="2" t="str">
        <f t="shared" ref="AE29:AE37" si="10">LEFT(AD29,SEARCH("@",AD29)-1)</f>
        <v>angel.lopez</v>
      </c>
      <c r="AG29" s="2" t="s">
        <v>71</v>
      </c>
      <c r="AH29" s="2" t="str">
        <f t="shared" si="9"/>
        <v>sanfer.com</v>
      </c>
    </row>
    <row r="30" spans="1:34" x14ac:dyDescent="0.25">
      <c r="A30" s="8" t="s">
        <v>13</v>
      </c>
      <c r="C30" s="2" t="s">
        <v>19</v>
      </c>
      <c r="D30" s="9" t="s">
        <v>27</v>
      </c>
      <c r="E30" s="10" t="str">
        <f t="shared" si="0"/>
        <v>ana@gsanfer.com</v>
      </c>
      <c r="G30" s="2" t="s">
        <v>19</v>
      </c>
      <c r="H30" s="9" t="s">
        <v>32</v>
      </c>
      <c r="I30" s="10" t="str">
        <f t="shared" si="1"/>
        <v>per</v>
      </c>
      <c r="J30" s="2" t="str">
        <f t="shared" si="2"/>
        <v>anpe@gsanfer.com</v>
      </c>
      <c r="L30" s="2" t="s">
        <v>19</v>
      </c>
      <c r="M30" s="10">
        <f t="shared" si="3"/>
        <v>3</v>
      </c>
      <c r="N30" s="10">
        <f t="shared" si="4"/>
        <v>7</v>
      </c>
      <c r="P30" s="2" t="s">
        <v>19</v>
      </c>
      <c r="Q30" s="2" t="str">
        <f t="shared" si="5"/>
        <v>ANA</v>
      </c>
      <c r="S30" s="2" t="s">
        <v>46</v>
      </c>
      <c r="T30" s="2" t="str">
        <f t="shared" si="6"/>
        <v>ana</v>
      </c>
      <c r="V30" s="2" t="s">
        <v>46</v>
      </c>
      <c r="W30" s="9" t="s">
        <v>58</v>
      </c>
      <c r="X30" s="2" t="str">
        <f t="shared" si="7"/>
        <v>ana.perez@sanfer.com</v>
      </c>
      <c r="Z30" s="2" t="s">
        <v>46</v>
      </c>
      <c r="AA30" s="9" t="s">
        <v>58</v>
      </c>
      <c r="AB30" s="5" t="str">
        <f t="shared" si="8"/>
        <v>Ana Perez</v>
      </c>
      <c r="AD30" s="2" t="s">
        <v>72</v>
      </c>
      <c r="AE30" s="2" t="str">
        <f t="shared" si="10"/>
        <v>ana.perez</v>
      </c>
      <c r="AG30" s="2" t="s">
        <v>72</v>
      </c>
      <c r="AH30" s="2" t="str">
        <f t="shared" si="9"/>
        <v>sanfer.com</v>
      </c>
    </row>
    <row r="31" spans="1:34" x14ac:dyDescent="0.25">
      <c r="A31" s="8" t="s">
        <v>14</v>
      </c>
      <c r="C31" s="2" t="s">
        <v>20</v>
      </c>
      <c r="D31" s="9" t="s">
        <v>27</v>
      </c>
      <c r="E31" s="10" t="str">
        <f t="shared" si="0"/>
        <v>maria@gsanfer.com</v>
      </c>
      <c r="G31" s="2" t="s">
        <v>20</v>
      </c>
      <c r="H31" s="9" t="s">
        <v>33</v>
      </c>
      <c r="I31" s="10" t="str">
        <f t="shared" si="1"/>
        <v>gam</v>
      </c>
      <c r="J31" s="2" t="str">
        <f t="shared" si="2"/>
        <v>maga@gsanfer.com</v>
      </c>
      <c r="L31" s="2" t="s">
        <v>20</v>
      </c>
      <c r="M31" s="10">
        <f t="shared" si="3"/>
        <v>5</v>
      </c>
      <c r="N31" s="10">
        <f t="shared" si="4"/>
        <v>5</v>
      </c>
      <c r="P31" s="2" t="s">
        <v>20</v>
      </c>
      <c r="Q31" s="2" t="str">
        <f t="shared" si="5"/>
        <v>MARIA</v>
      </c>
      <c r="S31" s="2" t="s">
        <v>47</v>
      </c>
      <c r="T31" s="2" t="str">
        <f t="shared" si="6"/>
        <v>maria</v>
      </c>
      <c r="V31" s="2" t="s">
        <v>47</v>
      </c>
      <c r="W31" s="9" t="s">
        <v>59</v>
      </c>
      <c r="X31" s="2" t="str">
        <f t="shared" si="7"/>
        <v>maria.gamez@sanfer.com</v>
      </c>
      <c r="Z31" s="2" t="s">
        <v>47</v>
      </c>
      <c r="AA31" s="9" t="s">
        <v>59</v>
      </c>
      <c r="AB31" s="5" t="str">
        <f t="shared" si="8"/>
        <v>Maria Gamez</v>
      </c>
      <c r="AD31" s="2" t="s">
        <v>73</v>
      </c>
      <c r="AE31" s="2" t="str">
        <f t="shared" si="10"/>
        <v>maria.gamez</v>
      </c>
      <c r="AG31" s="2" t="s">
        <v>73</v>
      </c>
      <c r="AH31" s="2" t="str">
        <f t="shared" si="9"/>
        <v>sanfer.com</v>
      </c>
    </row>
    <row r="32" spans="1:34" x14ac:dyDescent="0.25">
      <c r="A32" s="8" t="s">
        <v>15</v>
      </c>
      <c r="C32" s="2" t="s">
        <v>21</v>
      </c>
      <c r="D32" s="9" t="s">
        <v>27</v>
      </c>
      <c r="E32" s="10" t="str">
        <f t="shared" si="0"/>
        <v>sandra@gsanfer.com</v>
      </c>
      <c r="G32" s="2" t="s">
        <v>21</v>
      </c>
      <c r="H32" s="9" t="s">
        <v>34</v>
      </c>
      <c r="I32" s="10" t="str">
        <f t="shared" si="1"/>
        <v>rui</v>
      </c>
      <c r="J32" s="2" t="str">
        <f t="shared" si="2"/>
        <v>saru@gsanfer.com</v>
      </c>
      <c r="L32" s="2" t="s">
        <v>21</v>
      </c>
      <c r="M32" s="10">
        <f t="shared" si="3"/>
        <v>6</v>
      </c>
      <c r="N32" s="10">
        <f t="shared" si="4"/>
        <v>4</v>
      </c>
      <c r="P32" s="2" t="s">
        <v>21</v>
      </c>
      <c r="Q32" s="2" t="str">
        <f t="shared" si="5"/>
        <v>SANDRA</v>
      </c>
      <c r="S32" s="2" t="s">
        <v>48</v>
      </c>
      <c r="T32" s="2" t="str">
        <f t="shared" si="6"/>
        <v>sandra</v>
      </c>
      <c r="V32" s="2" t="s">
        <v>48</v>
      </c>
      <c r="W32" s="9" t="s">
        <v>60</v>
      </c>
      <c r="X32" s="2" t="str">
        <f t="shared" si="7"/>
        <v>sandra.ruiz@sanfer.com</v>
      </c>
      <c r="Z32" s="2" t="s">
        <v>48</v>
      </c>
      <c r="AA32" s="9" t="s">
        <v>60</v>
      </c>
      <c r="AB32" s="5" t="str">
        <f t="shared" si="8"/>
        <v>Sandra Ruiz</v>
      </c>
      <c r="AD32" s="2" t="s">
        <v>74</v>
      </c>
      <c r="AE32" s="2" t="str">
        <f t="shared" si="10"/>
        <v>sandra.ruiz</v>
      </c>
      <c r="AG32" s="2" t="s">
        <v>74</v>
      </c>
      <c r="AH32" s="2" t="str">
        <f t="shared" si="9"/>
        <v>sanfer.com</v>
      </c>
    </row>
    <row r="33" spans="1:34" x14ac:dyDescent="0.25">
      <c r="A33" s="11" t="s">
        <v>28</v>
      </c>
      <c r="C33" s="2" t="s">
        <v>22</v>
      </c>
      <c r="D33" s="9" t="s">
        <v>27</v>
      </c>
      <c r="E33" s="10" t="str">
        <f t="shared" si="0"/>
        <v>romina@gsanfer.com</v>
      </c>
      <c r="G33" s="2" t="s">
        <v>22</v>
      </c>
      <c r="H33" s="9" t="s">
        <v>35</v>
      </c>
      <c r="I33" s="10" t="str">
        <f t="shared" si="1"/>
        <v>ald</v>
      </c>
      <c r="J33" s="2" t="str">
        <f t="shared" si="2"/>
        <v>roal@gsanfer.com</v>
      </c>
      <c r="L33" s="2" t="s">
        <v>22</v>
      </c>
      <c r="M33" s="10">
        <f t="shared" si="3"/>
        <v>6</v>
      </c>
      <c r="N33" s="10">
        <f t="shared" si="4"/>
        <v>4</v>
      </c>
      <c r="P33" s="2" t="s">
        <v>22</v>
      </c>
      <c r="Q33" s="2" t="str">
        <f t="shared" si="5"/>
        <v>ROMINA</v>
      </c>
      <c r="S33" s="2" t="s">
        <v>49</v>
      </c>
      <c r="T33" s="2" t="str">
        <f t="shared" si="6"/>
        <v>romina</v>
      </c>
      <c r="V33" s="2" t="s">
        <v>49</v>
      </c>
      <c r="W33" s="9" t="s">
        <v>61</v>
      </c>
      <c r="X33" s="2" t="str">
        <f t="shared" si="7"/>
        <v>romina.aldama@sanfer.com</v>
      </c>
      <c r="Z33" s="2" t="s">
        <v>49</v>
      </c>
      <c r="AA33" s="9" t="s">
        <v>61</v>
      </c>
      <c r="AB33" s="5" t="str">
        <f t="shared" si="8"/>
        <v>Romina Aldama</v>
      </c>
      <c r="AD33" s="2" t="s">
        <v>75</v>
      </c>
      <c r="AE33" s="2" t="str">
        <f t="shared" si="10"/>
        <v>romina.aldama</v>
      </c>
      <c r="AG33" s="2" t="s">
        <v>75</v>
      </c>
      <c r="AH33" s="2" t="str">
        <f t="shared" si="9"/>
        <v>sanfer.com</v>
      </c>
    </row>
    <row r="34" spans="1:34" x14ac:dyDescent="0.25">
      <c r="C34" s="2" t="s">
        <v>23</v>
      </c>
      <c r="D34" s="9" t="s">
        <v>27</v>
      </c>
      <c r="E34" s="10" t="str">
        <f t="shared" si="0"/>
        <v>felipe@gsanfer.com</v>
      </c>
      <c r="G34" s="2" t="s">
        <v>23</v>
      </c>
      <c r="H34" s="9" t="s">
        <v>36</v>
      </c>
      <c r="I34" s="10" t="str">
        <f t="shared" si="1"/>
        <v>rot</v>
      </c>
      <c r="J34" s="2" t="str">
        <f t="shared" si="2"/>
        <v>fero@gsanfer.com</v>
      </c>
      <c r="L34" s="2" t="s">
        <v>23</v>
      </c>
      <c r="M34" s="10">
        <f t="shared" si="3"/>
        <v>6</v>
      </c>
      <c r="N34" s="10">
        <f t="shared" si="4"/>
        <v>4</v>
      </c>
      <c r="P34" s="2" t="s">
        <v>23</v>
      </c>
      <c r="Q34" s="2" t="str">
        <f t="shared" si="5"/>
        <v>FELIPE</v>
      </c>
      <c r="S34" s="2" t="s">
        <v>50</v>
      </c>
      <c r="T34" s="2" t="str">
        <f t="shared" si="6"/>
        <v>felipe</v>
      </c>
      <c r="V34" s="2" t="s">
        <v>50</v>
      </c>
      <c r="W34" s="9" t="s">
        <v>62</v>
      </c>
      <c r="X34" s="2" t="str">
        <f t="shared" si="7"/>
        <v>felipe.rotario@sanfer.com</v>
      </c>
      <c r="Z34" s="2" t="s">
        <v>50</v>
      </c>
      <c r="AA34" s="9" t="s">
        <v>62</v>
      </c>
      <c r="AB34" s="5" t="str">
        <f t="shared" si="8"/>
        <v>Felipe Rotario</v>
      </c>
      <c r="AD34" s="2" t="s">
        <v>76</v>
      </c>
      <c r="AE34" s="2" t="str">
        <f t="shared" si="10"/>
        <v>felipe.rotario</v>
      </c>
      <c r="AG34" s="2" t="s">
        <v>76</v>
      </c>
      <c r="AH34" s="2" t="str">
        <f t="shared" si="9"/>
        <v>sanfer.com</v>
      </c>
    </row>
    <row r="35" spans="1:34" x14ac:dyDescent="0.25">
      <c r="C35" s="2" t="s">
        <v>24</v>
      </c>
      <c r="D35" s="9" t="s">
        <v>27</v>
      </c>
      <c r="E35" s="10" t="str">
        <f t="shared" si="0"/>
        <v>andres@gsanfer.com</v>
      </c>
      <c r="G35" s="2" t="s">
        <v>24</v>
      </c>
      <c r="H35" s="9" t="s">
        <v>37</v>
      </c>
      <c r="I35" s="10" t="str">
        <f t="shared" si="1"/>
        <v>con</v>
      </c>
      <c r="J35" s="2" t="str">
        <f t="shared" si="2"/>
        <v>anco@gsanfer.com</v>
      </c>
      <c r="L35" s="2" t="s">
        <v>24</v>
      </c>
      <c r="M35" s="10">
        <f t="shared" si="3"/>
        <v>6</v>
      </c>
      <c r="N35" s="10">
        <f t="shared" si="4"/>
        <v>4</v>
      </c>
      <c r="P35" s="2" t="s">
        <v>24</v>
      </c>
      <c r="Q35" s="2" t="str">
        <f t="shared" si="5"/>
        <v>ANDRES</v>
      </c>
      <c r="S35" s="2" t="s">
        <v>51</v>
      </c>
      <c r="T35" s="2" t="str">
        <f t="shared" si="6"/>
        <v>andres</v>
      </c>
      <c r="V35" s="2" t="s">
        <v>51</v>
      </c>
      <c r="W35" s="9" t="s">
        <v>63</v>
      </c>
      <c r="X35" s="2" t="str">
        <f t="shared" si="7"/>
        <v>andres.contreras@sanfer.com</v>
      </c>
      <c r="Z35" s="2" t="s">
        <v>51</v>
      </c>
      <c r="AA35" s="9" t="s">
        <v>63</v>
      </c>
      <c r="AB35" s="5" t="str">
        <f t="shared" si="8"/>
        <v>Andres Contreras</v>
      </c>
      <c r="AD35" s="2" t="s">
        <v>77</v>
      </c>
      <c r="AE35" s="2" t="str">
        <f t="shared" si="10"/>
        <v>andres.contreras</v>
      </c>
      <c r="AG35" s="2" t="s">
        <v>77</v>
      </c>
      <c r="AH35" s="2" t="str">
        <f t="shared" si="9"/>
        <v>sanfer.com</v>
      </c>
    </row>
    <row r="36" spans="1:34" x14ac:dyDescent="0.25">
      <c r="C36" s="2" t="s">
        <v>25</v>
      </c>
      <c r="D36" s="9" t="s">
        <v>27</v>
      </c>
      <c r="E36" s="10" t="str">
        <f t="shared" si="0"/>
        <v>guadalupe@gsanfer.com</v>
      </c>
      <c r="G36" s="2" t="s">
        <v>25</v>
      </c>
      <c r="H36" s="9" t="s">
        <v>39</v>
      </c>
      <c r="I36" s="10" t="str">
        <f t="shared" si="1"/>
        <v>dia</v>
      </c>
      <c r="J36" s="2" t="str">
        <f t="shared" si="2"/>
        <v>gudi@gsanfer.com</v>
      </c>
      <c r="L36" s="2" t="s">
        <v>25</v>
      </c>
      <c r="M36" s="10">
        <f t="shared" si="3"/>
        <v>9</v>
      </c>
      <c r="N36" s="10">
        <f t="shared" si="4"/>
        <v>1</v>
      </c>
      <c r="P36" s="2" t="s">
        <v>25</v>
      </c>
      <c r="Q36" s="2" t="str">
        <f t="shared" si="5"/>
        <v>GUADALUPE</v>
      </c>
      <c r="S36" s="2" t="s">
        <v>52</v>
      </c>
      <c r="T36" s="2" t="str">
        <f t="shared" si="6"/>
        <v>guadalupe</v>
      </c>
      <c r="V36" s="2" t="s">
        <v>52</v>
      </c>
      <c r="W36" s="9" t="s">
        <v>64</v>
      </c>
      <c r="X36" s="2" t="str">
        <f t="shared" si="7"/>
        <v>guadalupe.diaz@sanfer.com</v>
      </c>
      <c r="Z36" s="2" t="s">
        <v>52</v>
      </c>
      <c r="AA36" s="9" t="s">
        <v>64</v>
      </c>
      <c r="AB36" s="5" t="str">
        <f t="shared" si="8"/>
        <v>Guadalupe Diaz</v>
      </c>
      <c r="AD36" s="2" t="s">
        <v>78</v>
      </c>
      <c r="AE36" s="2" t="str">
        <f t="shared" si="10"/>
        <v>guadalupe.diaz</v>
      </c>
      <c r="AG36" s="2" t="s">
        <v>78</v>
      </c>
      <c r="AH36" s="2" t="str">
        <f t="shared" si="9"/>
        <v>sanfer.com</v>
      </c>
    </row>
    <row r="37" spans="1:34" x14ac:dyDescent="0.25">
      <c r="C37" s="2" t="s">
        <v>26</v>
      </c>
      <c r="D37" s="9" t="s">
        <v>27</v>
      </c>
      <c r="E37" s="10" t="str">
        <f t="shared" si="0"/>
        <v>jimena@gsanfer.com</v>
      </c>
      <c r="G37" s="2" t="s">
        <v>26</v>
      </c>
      <c r="H37" s="9" t="s">
        <v>38</v>
      </c>
      <c r="I37" s="10" t="str">
        <f t="shared" si="1"/>
        <v>mer</v>
      </c>
      <c r="J37" s="2" t="str">
        <f t="shared" si="2"/>
        <v>jime@gsanfer.com</v>
      </c>
      <c r="L37" s="2" t="s">
        <v>26</v>
      </c>
      <c r="M37" s="10">
        <f t="shared" si="3"/>
        <v>6</v>
      </c>
      <c r="N37" s="10">
        <f t="shared" si="4"/>
        <v>4</v>
      </c>
      <c r="P37" s="2" t="s">
        <v>26</v>
      </c>
      <c r="Q37" s="2" t="str">
        <f t="shared" si="5"/>
        <v>JIMENA</v>
      </c>
      <c r="S37" s="2" t="s">
        <v>53</v>
      </c>
      <c r="T37" s="2" t="str">
        <f t="shared" si="6"/>
        <v>jimena</v>
      </c>
      <c r="V37" s="2" t="s">
        <v>53</v>
      </c>
      <c r="W37" s="9" t="s">
        <v>65</v>
      </c>
      <c r="X37" s="2" t="str">
        <f t="shared" si="7"/>
        <v>jimena.merino@sanfer.com</v>
      </c>
      <c r="Z37" s="2" t="s">
        <v>53</v>
      </c>
      <c r="AA37" s="9" t="s">
        <v>65</v>
      </c>
      <c r="AB37" s="5" t="str">
        <f t="shared" si="8"/>
        <v>Jimena Merino</v>
      </c>
      <c r="AD37" s="2" t="s">
        <v>79</v>
      </c>
      <c r="AE37" s="2" t="str">
        <f t="shared" si="10"/>
        <v>jimena.merino</v>
      </c>
      <c r="AG37" s="2" t="s">
        <v>79</v>
      </c>
      <c r="AH37" s="2" t="str">
        <f t="shared" si="9"/>
        <v>sanfer.com</v>
      </c>
    </row>
  </sheetData>
  <mergeCells count="15">
    <mergeCell ref="V26:X26"/>
    <mergeCell ref="Z26:AB26"/>
    <mergeCell ref="AD26:AE26"/>
    <mergeCell ref="AG26:AH26"/>
    <mergeCell ref="C26:E26"/>
    <mergeCell ref="G26:J26"/>
    <mergeCell ref="L26:N26"/>
    <mergeCell ref="P26:Q26"/>
    <mergeCell ref="S26:T26"/>
    <mergeCell ref="A1:F2"/>
    <mergeCell ref="C7:E7"/>
    <mergeCell ref="G7:I7"/>
    <mergeCell ref="K7:M7"/>
    <mergeCell ref="O7:Q7"/>
    <mergeCell ref="S7:U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2021-10-12T22:04:12Z</dcterms:created>
  <dcterms:modified xsi:type="dcterms:W3CDTF">2021-10-12T23:57:19Z</dcterms:modified>
</cp:coreProperties>
</file>