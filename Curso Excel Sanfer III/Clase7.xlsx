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critorio\DOCUMETOS\Curso Excel Sanfer III\"/>
    </mc:Choice>
  </mc:AlternateContent>
  <bookViews>
    <workbookView xWindow="0" yWindow="0" windowWidth="20490" windowHeight="7650"/>
  </bookViews>
  <sheets>
    <sheet name="Hoja1" sheetId="1" r:id="rId1"/>
    <sheet name="LIST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2" i="1" l="1"/>
  <c r="B63" i="1"/>
  <c r="C50" i="1"/>
  <c r="C51" i="1"/>
  <c r="C52" i="1"/>
  <c r="C53" i="1"/>
  <c r="E31" i="1"/>
  <c r="E32" i="1"/>
  <c r="E33" i="1"/>
  <c r="E34" i="1"/>
  <c r="E35" i="1"/>
  <c r="C26" i="1"/>
  <c r="C27" i="1"/>
  <c r="C28" i="1"/>
  <c r="C25" i="1"/>
  <c r="C21" i="1"/>
  <c r="F14" i="1"/>
  <c r="F15" i="1"/>
  <c r="F16" i="1"/>
  <c r="F17" i="1"/>
  <c r="F18" i="1"/>
  <c r="E14" i="1"/>
  <c r="E15" i="1"/>
  <c r="E16" i="1"/>
  <c r="E17" i="1"/>
  <c r="E18" i="1"/>
</calcChain>
</file>

<file path=xl/sharedStrings.xml><?xml version="1.0" encoding="utf-8"?>
<sst xmlns="http://schemas.openxmlformats.org/spreadsheetml/2006/main" count="139" uniqueCount="64">
  <si>
    <t>Bloque 2 - Procesos - Sentencias</t>
  </si>
  <si>
    <t>Sentencia -&gt; Proceso que se condiciona para su ejecución.</t>
  </si>
  <si>
    <t>Función SI</t>
  </si>
  <si>
    <t>=SI(PRUEBA_LÓGICA,[VALOR VERDADERO],[VALOR FALSO])</t>
  </si>
  <si>
    <r>
      <t xml:space="preserve">PRUEBA_LÓGICA =&gt; CONDICIÓN -&gt; NECESITA UN OPERADOR RELACIONAL </t>
    </r>
    <r>
      <rPr>
        <sz val="11"/>
        <color rgb="FFFF0000"/>
        <rFont val="Calibri"/>
        <family val="2"/>
        <scheme val="minor"/>
      </rPr>
      <t>{&gt;,&lt;,&gt;=,&lt;=,&lt;&gt;,=}</t>
    </r>
  </si>
  <si>
    <t>VALOR VERDAD =&gt; CUANDO LA CONDICIÓN SE CUMPLE</t>
  </si>
  <si>
    <t>VALOR FALSO =&gt; CUANDO LA CONDICIÓN NO SE CUMPLE</t>
  </si>
  <si>
    <t>EJEMPLO FUNCIÓN SI SIMPLE</t>
  </si>
  <si>
    <t>A</t>
  </si>
  <si>
    <t>B</t>
  </si>
  <si>
    <t>C</t>
  </si>
  <si>
    <t>D</t>
  </si>
  <si>
    <t>E</t>
  </si>
  <si>
    <t>PRODUCTO</t>
  </si>
  <si>
    <t>PRECIO U</t>
  </si>
  <si>
    <t>CANTIDADES</t>
  </si>
  <si>
    <t>DESCUENTO</t>
  </si>
  <si>
    <t>IMPORTE</t>
  </si>
  <si>
    <t>SI</t>
  </si>
  <si>
    <t>NO</t>
  </si>
  <si>
    <t>REPORTE</t>
  </si>
  <si>
    <t>VALOR</t>
  </si>
  <si>
    <t>ESTADO</t>
  </si>
  <si>
    <t>1 -&gt; ABIERTO</t>
  </si>
  <si>
    <t>0 -&gt; CERRADO</t>
  </si>
  <si>
    <t>EJEMPLO DE FUNCIÓN SI ANIDADA</t>
  </si>
  <si>
    <t>0 A 80 -&gt; BAJA</t>
  </si>
  <si>
    <t>81 A 90 -&gt; MEDIA</t>
  </si>
  <si>
    <t>91 A 100 -&gt; ALTA</t>
  </si>
  <si>
    <t>CASO</t>
  </si>
  <si>
    <t xml:space="preserve">VALOR </t>
  </si>
  <si>
    <t>RESULTADO</t>
  </si>
  <si>
    <t>SERVICIO</t>
  </si>
  <si>
    <t>TRANSPORTE</t>
  </si>
  <si>
    <t>MERCANCIA</t>
  </si>
  <si>
    <t>LOGISTICA</t>
  </si>
  <si>
    <t>DESCUENTOS</t>
  </si>
  <si>
    <t>SENTENCIA SI CON OPERADORES LOGICOS -&gt; AND "Y" -  OR "O"</t>
  </si>
  <si>
    <t>TABLAS DE VERDAD</t>
  </si>
  <si>
    <t>CONDICIÓN 2</t>
  </si>
  <si>
    <t>CONDICIÓN 1</t>
  </si>
  <si>
    <t>VERDAD</t>
  </si>
  <si>
    <t>FALSA</t>
  </si>
  <si>
    <t>Y</t>
  </si>
  <si>
    <t>OPERADOR</t>
  </si>
  <si>
    <t>O</t>
  </si>
  <si>
    <t>VS</t>
  </si>
  <si>
    <t>=SI(Y(B50&gt;=0,B50&lt;=80),"BAJA",SI(Y(B50&gt;=81,B50&lt;=90),"MEDIA",SI(Y(B50&gt;=91,B50&lt;=100),"ALTA","ERROR!#")))</t>
  </si>
  <si>
    <t>=SI(B25&gt;=0,SI(B25&lt;=80,"BAJA",SI(B25&lt;=90,"MEDIA",SI(B25&lt;=100,"ALTA","ERROR#!"))),"ERROR!#")</t>
  </si>
  <si>
    <t>REQUISITOS</t>
  </si>
  <si>
    <t>ENTREGO</t>
  </si>
  <si>
    <t>ACTA DE NACIMIENTO</t>
  </si>
  <si>
    <t>INE</t>
  </si>
  <si>
    <t>RFC</t>
  </si>
  <si>
    <t>CARTA DE RECOMENDACIÓN</t>
  </si>
  <si>
    <t>CUENTA DE AHORRO</t>
  </si>
  <si>
    <t>ACEPTADO</t>
  </si>
  <si>
    <t>NO ACEPTADO</t>
  </si>
  <si>
    <t>AND</t>
  </si>
  <si>
    <t>OR</t>
  </si>
  <si>
    <t>CREDENCIAL CON FOTO</t>
  </si>
  <si>
    <t>PASAPORTE</t>
  </si>
  <si>
    <t>CURP</t>
  </si>
  <si>
    <t>LICENCIA DE MANEJO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</si>
</sst>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0" xfId="0" applyFont="1"/>
    <xf numFmtId="49" fontId="0" fillId="0" borderId="0" xfId="0" applyNumberFormat="1"/>
    <xf numFmtId="0" fontId="3" fillId="0" borderId="0" xfId="0" applyFont="1"/>
    <xf numFmtId="0" fontId="0" fillId="0" borderId="1" xfId="0" applyBorder="1"/>
    <xf numFmtId="44" fontId="0" fillId="0" borderId="1" xfId="1" applyFont="1" applyBorder="1"/>
    <xf numFmtId="10" fontId="0" fillId="2" borderId="1" xfId="0" applyNumberFormat="1" applyFill="1" applyBorder="1"/>
    <xf numFmtId="14" fontId="0" fillId="0" borderId="1" xfId="0" applyNumberForma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Fill="1" applyBorder="1"/>
    <xf numFmtId="0" fontId="0" fillId="2" borderId="1" xfId="0" applyFill="1" applyBorder="1"/>
    <xf numFmtId="10" fontId="0" fillId="2" borderId="1" xfId="1" applyNumberFormat="1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/>
    <xf numFmtId="0" fontId="3" fillId="0" borderId="0" xfId="0" applyFont="1" applyFill="1" applyBorder="1" applyAlignment="1">
      <alignment horizontal="center"/>
    </xf>
    <xf numFmtId="0" fontId="0" fillId="6" borderId="1" xfId="0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tabSelected="1" topLeftCell="A63" zoomScale="190" zoomScaleNormal="190" workbookViewId="0">
      <selection activeCell="B72" sqref="B72"/>
    </sheetView>
  </sheetViews>
  <sheetFormatPr baseColWidth="10" defaultRowHeight="15" x14ac:dyDescent="0.25"/>
  <cols>
    <col min="1" max="1" width="28.140625" customWidth="1"/>
    <col min="2" max="2" width="13.5703125" customWidth="1"/>
    <col min="3" max="3" width="12.140625" customWidth="1"/>
    <col min="4" max="4" width="14.140625" customWidth="1"/>
    <col min="5" max="5" width="16" customWidth="1"/>
    <col min="6" max="6" width="12.5703125" bestFit="1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</row>
    <row r="2" spans="1:8" x14ac:dyDescent="0.25">
      <c r="A2" s="1"/>
      <c r="B2" s="1"/>
      <c r="C2" s="1"/>
      <c r="D2" s="1"/>
      <c r="E2" s="1"/>
      <c r="F2" s="1"/>
      <c r="G2" s="1"/>
    </row>
    <row r="3" spans="1:8" x14ac:dyDescent="0.25">
      <c r="A3" s="1"/>
      <c r="B3" s="1"/>
      <c r="C3" s="1"/>
      <c r="D3" s="1"/>
      <c r="E3" s="1"/>
      <c r="F3" s="1"/>
      <c r="G3" s="1"/>
    </row>
    <row r="5" spans="1:8" ht="26.25" x14ac:dyDescent="0.4">
      <c r="A5" s="2" t="s">
        <v>1</v>
      </c>
    </row>
    <row r="7" spans="1:8" x14ac:dyDescent="0.25">
      <c r="A7" s="4" t="s">
        <v>2</v>
      </c>
      <c r="B7" s="3" t="s">
        <v>3</v>
      </c>
    </row>
    <row r="8" spans="1:8" x14ac:dyDescent="0.25">
      <c r="B8" t="s">
        <v>4</v>
      </c>
    </row>
    <row r="9" spans="1:8" x14ac:dyDescent="0.25">
      <c r="B9" t="s">
        <v>5</v>
      </c>
    </row>
    <row r="10" spans="1:8" x14ac:dyDescent="0.25">
      <c r="B10" t="s">
        <v>6</v>
      </c>
    </row>
    <row r="12" spans="1:8" x14ac:dyDescent="0.25">
      <c r="A12" t="s">
        <v>7</v>
      </c>
      <c r="G12" s="5" t="s">
        <v>16</v>
      </c>
      <c r="H12" s="7">
        <v>0.1</v>
      </c>
    </row>
    <row r="13" spans="1:8" x14ac:dyDescent="0.25">
      <c r="A13" s="5" t="s">
        <v>13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17</v>
      </c>
    </row>
    <row r="14" spans="1:8" x14ac:dyDescent="0.25">
      <c r="A14" s="5" t="s">
        <v>8</v>
      </c>
      <c r="B14" s="6">
        <v>10</v>
      </c>
      <c r="C14" s="5">
        <v>5</v>
      </c>
      <c r="D14" s="5" t="s">
        <v>18</v>
      </c>
      <c r="E14" s="6">
        <f>IF(D14="SI",(B14*C14)-((B14*C14)*H$12),(B14*C14))</f>
        <v>45</v>
      </c>
      <c r="F14" s="6">
        <f>IF(D14="NO",(B14*C14),(B14*C14)-((B14*C14)*H$12))</f>
        <v>45</v>
      </c>
    </row>
    <row r="15" spans="1:8" x14ac:dyDescent="0.25">
      <c r="A15" s="5" t="s">
        <v>9</v>
      </c>
      <c r="B15" s="6">
        <v>150</v>
      </c>
      <c r="C15" s="5">
        <v>7</v>
      </c>
      <c r="D15" s="5" t="s">
        <v>19</v>
      </c>
      <c r="E15" s="6">
        <f t="shared" ref="E15:F18" si="0">IF(D15="SI",(B15*C15)-((B15*C15)*H$12),(B15*C15))</f>
        <v>1050</v>
      </c>
      <c r="F15" s="6">
        <f t="shared" ref="F15:F18" si="1">IF(D15="NO",(B15*C15),(B15*C15)-((B15*C15)*H$12))</f>
        <v>1050</v>
      </c>
    </row>
    <row r="16" spans="1:8" x14ac:dyDescent="0.25">
      <c r="A16" s="5" t="s">
        <v>10</v>
      </c>
      <c r="B16" s="6">
        <v>500</v>
      </c>
      <c r="C16" s="5">
        <v>2</v>
      </c>
      <c r="D16" s="5" t="s">
        <v>18</v>
      </c>
      <c r="E16" s="6">
        <f t="shared" si="0"/>
        <v>900</v>
      </c>
      <c r="F16" s="6">
        <f t="shared" si="1"/>
        <v>900</v>
      </c>
    </row>
    <row r="17" spans="1:6" x14ac:dyDescent="0.25">
      <c r="A17" s="5" t="s">
        <v>11</v>
      </c>
      <c r="B17" s="6">
        <v>1200</v>
      </c>
      <c r="C17" s="5">
        <v>4</v>
      </c>
      <c r="D17" s="5" t="s">
        <v>18</v>
      </c>
      <c r="E17" s="6">
        <f t="shared" si="0"/>
        <v>4320</v>
      </c>
      <c r="F17" s="6">
        <f t="shared" si="1"/>
        <v>4320</v>
      </c>
    </row>
    <row r="18" spans="1:6" x14ac:dyDescent="0.25">
      <c r="A18" s="5" t="s">
        <v>12</v>
      </c>
      <c r="B18" s="6">
        <v>57</v>
      </c>
      <c r="C18" s="5">
        <v>8</v>
      </c>
      <c r="D18" s="5" t="s">
        <v>18</v>
      </c>
      <c r="E18" s="6">
        <f t="shared" si="0"/>
        <v>410.4</v>
      </c>
      <c r="F18" s="6">
        <f t="shared" si="1"/>
        <v>410.4</v>
      </c>
    </row>
    <row r="20" spans="1:6" x14ac:dyDescent="0.25">
      <c r="A20" s="5" t="s">
        <v>20</v>
      </c>
      <c r="B20" s="5" t="s">
        <v>21</v>
      </c>
      <c r="C20" s="5" t="s">
        <v>22</v>
      </c>
      <c r="E20" s="9" t="s">
        <v>23</v>
      </c>
    </row>
    <row r="21" spans="1:6" x14ac:dyDescent="0.25">
      <c r="A21" s="8">
        <v>44482</v>
      </c>
      <c r="B21" s="5">
        <v>0</v>
      </c>
      <c r="C21" s="5" t="str">
        <f>IF(B21=0,"CERRADO","ABIERTO")</f>
        <v>CERRADO</v>
      </c>
      <c r="E21" s="9" t="s">
        <v>24</v>
      </c>
    </row>
    <row r="23" spans="1:6" x14ac:dyDescent="0.25">
      <c r="A23" t="s">
        <v>25</v>
      </c>
      <c r="E23" s="10" t="s">
        <v>26</v>
      </c>
    </row>
    <row r="24" spans="1:6" x14ac:dyDescent="0.25">
      <c r="A24" s="5" t="s">
        <v>29</v>
      </c>
      <c r="B24" s="5" t="s">
        <v>30</v>
      </c>
      <c r="C24" s="5" t="s">
        <v>31</v>
      </c>
      <c r="E24" s="10" t="s">
        <v>27</v>
      </c>
    </row>
    <row r="25" spans="1:6" x14ac:dyDescent="0.25">
      <c r="A25" s="5" t="s">
        <v>32</v>
      </c>
      <c r="B25" s="5">
        <v>8</v>
      </c>
      <c r="C25" s="5" t="str">
        <f>IF(B25&gt;=0,IF(B25&lt;=80,"BAJA",IF(B25&lt;=90,"MEDIA",IF(B25&lt;=100,"ALTA","ERROR#!"))),"ERROR!#")</f>
        <v>BAJA</v>
      </c>
      <c r="E25" s="10" t="s">
        <v>28</v>
      </c>
    </row>
    <row r="26" spans="1:6" x14ac:dyDescent="0.25">
      <c r="A26" s="11" t="s">
        <v>33</v>
      </c>
      <c r="B26" s="5">
        <v>50</v>
      </c>
      <c r="C26" s="5" t="str">
        <f t="shared" ref="C26:C28" si="2">IF(B26&gt;=0,IF(B26&lt;=80,"BAJA",IF(B26&lt;=90,"MEDIA",IF(B26&lt;=100,"ALTA","ERROR#!"))),"ERROR!#")</f>
        <v>BAJA</v>
      </c>
    </row>
    <row r="27" spans="1:6" x14ac:dyDescent="0.25">
      <c r="A27" s="11" t="s">
        <v>34</v>
      </c>
      <c r="B27" s="5">
        <v>90</v>
      </c>
      <c r="C27" s="5" t="str">
        <f t="shared" si="2"/>
        <v>MEDIA</v>
      </c>
    </row>
    <row r="28" spans="1:6" x14ac:dyDescent="0.25">
      <c r="A28" s="11" t="s">
        <v>35</v>
      </c>
      <c r="B28" s="5">
        <v>98</v>
      </c>
      <c r="C28" s="5" t="str">
        <f t="shared" si="2"/>
        <v>ALTA</v>
      </c>
    </row>
    <row r="30" spans="1:6" x14ac:dyDescent="0.25">
      <c r="A30" s="5" t="s">
        <v>13</v>
      </c>
      <c r="B30" s="5" t="s">
        <v>14</v>
      </c>
      <c r="C30" s="5" t="s">
        <v>15</v>
      </c>
      <c r="D30" s="5" t="s">
        <v>16</v>
      </c>
      <c r="E30" s="5" t="s">
        <v>17</v>
      </c>
      <c r="F30" s="12" t="s">
        <v>36</v>
      </c>
    </row>
    <row r="31" spans="1:6" x14ac:dyDescent="0.25">
      <c r="A31" s="5" t="s">
        <v>8</v>
      </c>
      <c r="B31" s="6">
        <v>10</v>
      </c>
      <c r="C31" s="5">
        <v>5</v>
      </c>
      <c r="D31" s="5" t="s">
        <v>8</v>
      </c>
      <c r="E31" s="6">
        <f>IF(D31="A",(B31*C31)*0.95,IF(D31="B",(B31*C31)*0.9,IF(D31="C",(B31*C31)*0.85,B31*C31)))</f>
        <v>47.5</v>
      </c>
      <c r="F31" s="13">
        <v>0.05</v>
      </c>
    </row>
    <row r="32" spans="1:6" x14ac:dyDescent="0.25">
      <c r="A32" s="5" t="s">
        <v>9</v>
      </c>
      <c r="B32" s="6">
        <v>150</v>
      </c>
      <c r="C32" s="5">
        <v>7</v>
      </c>
      <c r="D32" s="5" t="s">
        <v>9</v>
      </c>
      <c r="E32" s="6">
        <f t="shared" ref="E32:E35" si="3">IF(D32="A",(B32*C32)*0.95,IF(D32="B",(B32*C32)*0.9,IF(D32="C",(B32*C32)*0.85,B32*C32)))</f>
        <v>945</v>
      </c>
      <c r="F32" s="13">
        <v>0.1</v>
      </c>
    </row>
    <row r="33" spans="1:6" x14ac:dyDescent="0.25">
      <c r="A33" s="5" t="s">
        <v>10</v>
      </c>
      <c r="B33" s="6">
        <v>500</v>
      </c>
      <c r="C33" s="5">
        <v>2</v>
      </c>
      <c r="D33" s="5" t="s">
        <v>10</v>
      </c>
      <c r="E33" s="6">
        <f t="shared" si="3"/>
        <v>850</v>
      </c>
      <c r="F33" s="13">
        <v>0.15</v>
      </c>
    </row>
    <row r="34" spans="1:6" x14ac:dyDescent="0.25">
      <c r="A34" s="5" t="s">
        <v>11</v>
      </c>
      <c r="B34" s="6">
        <v>1200</v>
      </c>
      <c r="C34" s="5">
        <v>4</v>
      </c>
      <c r="D34" s="5" t="s">
        <v>8</v>
      </c>
      <c r="E34" s="6">
        <f t="shared" si="3"/>
        <v>4560</v>
      </c>
      <c r="F34" s="6"/>
    </row>
    <row r="35" spans="1:6" x14ac:dyDescent="0.25">
      <c r="A35" s="5" t="s">
        <v>12</v>
      </c>
      <c r="B35" s="6">
        <v>57</v>
      </c>
      <c r="C35" s="5">
        <v>8</v>
      </c>
      <c r="D35" s="5" t="s">
        <v>9</v>
      </c>
      <c r="E35" s="6">
        <f t="shared" si="3"/>
        <v>410.40000000000003</v>
      </c>
      <c r="F35" s="6"/>
    </row>
    <row r="37" spans="1:6" x14ac:dyDescent="0.25">
      <c r="A37" t="s">
        <v>37</v>
      </c>
    </row>
    <row r="38" spans="1:6" x14ac:dyDescent="0.25">
      <c r="A38" t="s">
        <v>38</v>
      </c>
    </row>
    <row r="39" spans="1:6" x14ac:dyDescent="0.25">
      <c r="A39" s="18" t="s">
        <v>40</v>
      </c>
      <c r="B39" s="18" t="s">
        <v>39</v>
      </c>
      <c r="C39" s="18" t="s">
        <v>44</v>
      </c>
      <c r="D39" s="18" t="s">
        <v>31</v>
      </c>
    </row>
    <row r="40" spans="1:6" x14ac:dyDescent="0.25">
      <c r="A40" s="15" t="s">
        <v>41</v>
      </c>
      <c r="B40" s="15" t="s">
        <v>42</v>
      </c>
      <c r="C40" s="15" t="s">
        <v>43</v>
      </c>
      <c r="D40" s="15" t="b">
        <v>0</v>
      </c>
    </row>
    <row r="41" spans="1:6" x14ac:dyDescent="0.25">
      <c r="A41" s="15" t="s">
        <v>42</v>
      </c>
      <c r="B41" s="15" t="s">
        <v>41</v>
      </c>
      <c r="C41" s="15" t="s">
        <v>43</v>
      </c>
      <c r="D41" s="15" t="b">
        <v>0</v>
      </c>
    </row>
    <row r="42" spans="1:6" x14ac:dyDescent="0.25">
      <c r="A42" s="15" t="s">
        <v>42</v>
      </c>
      <c r="B42" s="15" t="s">
        <v>42</v>
      </c>
      <c r="C42" s="15" t="s">
        <v>43</v>
      </c>
      <c r="D42" s="15" t="b">
        <v>0</v>
      </c>
    </row>
    <row r="43" spans="1:6" x14ac:dyDescent="0.25">
      <c r="A43" s="15" t="s">
        <v>41</v>
      </c>
      <c r="B43" s="15" t="s">
        <v>41</v>
      </c>
      <c r="C43" s="15" t="s">
        <v>43</v>
      </c>
      <c r="D43" s="16" t="s">
        <v>41</v>
      </c>
    </row>
    <row r="44" spans="1:6" x14ac:dyDescent="0.25">
      <c r="A44" s="14" t="s">
        <v>41</v>
      </c>
      <c r="B44" s="14" t="s">
        <v>42</v>
      </c>
      <c r="C44" s="14" t="s">
        <v>45</v>
      </c>
      <c r="D44" s="17" t="s">
        <v>41</v>
      </c>
    </row>
    <row r="45" spans="1:6" x14ac:dyDescent="0.25">
      <c r="A45" s="14" t="s">
        <v>42</v>
      </c>
      <c r="B45" s="14" t="s">
        <v>41</v>
      </c>
      <c r="C45" s="14" t="s">
        <v>45</v>
      </c>
      <c r="D45" s="17" t="s">
        <v>41</v>
      </c>
    </row>
    <row r="46" spans="1:6" x14ac:dyDescent="0.25">
      <c r="A46" s="14" t="s">
        <v>42</v>
      </c>
      <c r="B46" s="14" t="s">
        <v>42</v>
      </c>
      <c r="C46" s="14" t="s">
        <v>45</v>
      </c>
      <c r="D46" s="17" t="b">
        <v>0</v>
      </c>
    </row>
    <row r="47" spans="1:6" x14ac:dyDescent="0.25">
      <c r="A47" s="14" t="s">
        <v>41</v>
      </c>
      <c r="B47" s="14" t="s">
        <v>41</v>
      </c>
      <c r="C47" s="14" t="s">
        <v>45</v>
      </c>
      <c r="D47" s="17" t="s">
        <v>41</v>
      </c>
    </row>
    <row r="49" spans="1:5" x14ac:dyDescent="0.25">
      <c r="A49" s="5" t="s">
        <v>29</v>
      </c>
      <c r="B49" s="5" t="s">
        <v>30</v>
      </c>
      <c r="C49" s="5" t="s">
        <v>31</v>
      </c>
      <c r="E49" s="10" t="s">
        <v>26</v>
      </c>
    </row>
    <row r="50" spans="1:5" x14ac:dyDescent="0.25">
      <c r="A50" s="5" t="s">
        <v>32</v>
      </c>
      <c r="B50" s="5">
        <v>8</v>
      </c>
      <c r="C50" s="5" t="str">
        <f>IF(AND(B50&gt;=0,B50&lt;=80),"BAJA",IF(AND(B50&gt;=81,B50&lt;=90),"MEDIA",IF(AND(B50&gt;=91,B50&lt;=100),"ALTA","ERROR!#")))</f>
        <v>BAJA</v>
      </c>
      <c r="E50" s="10" t="s">
        <v>27</v>
      </c>
    </row>
    <row r="51" spans="1:5" x14ac:dyDescent="0.25">
      <c r="A51" s="11" t="s">
        <v>33</v>
      </c>
      <c r="B51" s="5">
        <v>50</v>
      </c>
      <c r="C51" s="5" t="str">
        <f t="shared" ref="C51:C53" si="4">IF(AND(B51&gt;=0,B51&lt;=80),"BAJA",IF(AND(B51&gt;=81,B51&lt;=90),"MEDIA",IF(AND(B51&gt;=91,B51&lt;=100),"ALTA","ERROR!#")))</f>
        <v>BAJA</v>
      </c>
      <c r="E51" s="10" t="s">
        <v>28</v>
      </c>
    </row>
    <row r="52" spans="1:5" x14ac:dyDescent="0.25">
      <c r="A52" s="11" t="s">
        <v>34</v>
      </c>
      <c r="B52" s="5">
        <v>90</v>
      </c>
      <c r="C52" s="5" t="str">
        <f t="shared" si="4"/>
        <v>MEDIA</v>
      </c>
    </row>
    <row r="53" spans="1:5" x14ac:dyDescent="0.25">
      <c r="A53" s="11" t="s">
        <v>35</v>
      </c>
      <c r="B53" s="5">
        <v>98</v>
      </c>
      <c r="C53" s="5" t="str">
        <f t="shared" si="4"/>
        <v>ALTA</v>
      </c>
    </row>
    <row r="54" spans="1:5" x14ac:dyDescent="0.25">
      <c r="E54" s="19" t="s">
        <v>46</v>
      </c>
    </row>
    <row r="55" spans="1:5" x14ac:dyDescent="0.25">
      <c r="E55" s="3" t="s">
        <v>47</v>
      </c>
    </row>
    <row r="56" spans="1:5" x14ac:dyDescent="0.25">
      <c r="A56" t="s">
        <v>58</v>
      </c>
      <c r="E56" s="3" t="s">
        <v>48</v>
      </c>
    </row>
    <row r="57" spans="1:5" x14ac:dyDescent="0.25">
      <c r="A57" s="5" t="s">
        <v>49</v>
      </c>
      <c r="B57" s="5" t="s">
        <v>50</v>
      </c>
    </row>
    <row r="58" spans="1:5" x14ac:dyDescent="0.25">
      <c r="A58" s="5" t="s">
        <v>51</v>
      </c>
      <c r="B58" s="5" t="s">
        <v>18</v>
      </c>
    </row>
    <row r="59" spans="1:5" x14ac:dyDescent="0.25">
      <c r="A59" s="5" t="s">
        <v>52</v>
      </c>
      <c r="B59" s="5" t="s">
        <v>18</v>
      </c>
    </row>
    <row r="60" spans="1:5" x14ac:dyDescent="0.25">
      <c r="A60" s="5" t="s">
        <v>53</v>
      </c>
      <c r="B60" s="5" t="s">
        <v>18</v>
      </c>
    </row>
    <row r="61" spans="1:5" x14ac:dyDescent="0.25">
      <c r="A61" s="5" t="s">
        <v>54</v>
      </c>
      <c r="B61" s="5" t="s">
        <v>18</v>
      </c>
    </row>
    <row r="62" spans="1:5" x14ac:dyDescent="0.25">
      <c r="A62" s="5" t="s">
        <v>55</v>
      </c>
      <c r="B62" s="5" t="s">
        <v>18</v>
      </c>
      <c r="D62" s="5" t="s">
        <v>56</v>
      </c>
    </row>
    <row r="63" spans="1:5" x14ac:dyDescent="0.25">
      <c r="A63" s="5" t="s">
        <v>22</v>
      </c>
      <c r="B63" s="20" t="str">
        <f>IF(AND(B58="SI",B59="SI",B60="SI",B61="SI",B62="SI"),"ACEPTADO","NO ACEPTADO")</f>
        <v>ACEPTADO</v>
      </c>
      <c r="D63" s="5" t="s">
        <v>57</v>
      </c>
    </row>
    <row r="65" spans="1:2" x14ac:dyDescent="0.25">
      <c r="A65" t="s">
        <v>59</v>
      </c>
    </row>
    <row r="66" spans="1:2" x14ac:dyDescent="0.25">
      <c r="A66" s="5" t="s">
        <v>49</v>
      </c>
      <c r="B66" s="5" t="s">
        <v>50</v>
      </c>
    </row>
    <row r="67" spans="1:2" x14ac:dyDescent="0.25">
      <c r="A67" s="5" t="s">
        <v>52</v>
      </c>
      <c r="B67" s="5" t="s">
        <v>19</v>
      </c>
    </row>
    <row r="68" spans="1:2" x14ac:dyDescent="0.25">
      <c r="A68" s="5" t="s">
        <v>63</v>
      </c>
      <c r="B68" s="5" t="s">
        <v>19</v>
      </c>
    </row>
    <row r="69" spans="1:2" x14ac:dyDescent="0.25">
      <c r="A69" s="5" t="s">
        <v>60</v>
      </c>
      <c r="B69" s="5" t="s">
        <v>18</v>
      </c>
    </row>
    <row r="70" spans="1:2" x14ac:dyDescent="0.25">
      <c r="A70" s="5" t="s">
        <v>61</v>
      </c>
      <c r="B70" s="5" t="s">
        <v>19</v>
      </c>
    </row>
    <row r="71" spans="1:2" x14ac:dyDescent="0.25">
      <c r="A71" s="5" t="s">
        <v>62</v>
      </c>
      <c r="B71" s="5" t="s">
        <v>19</v>
      </c>
    </row>
    <row r="72" spans="1:2" x14ac:dyDescent="0.25">
      <c r="A72" s="5" t="s">
        <v>22</v>
      </c>
      <c r="B72" s="20" t="str">
        <f>IF(OR(B67="SI",B68="SI",B69="SI",B70="SI",B71="SI"),"ACEPTADO","NO ACEPTADO")</f>
        <v>ACEPTADO</v>
      </c>
    </row>
  </sheetData>
  <mergeCells count="1">
    <mergeCell ref="A1:G3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LISTAS!$A$1:$A$2</xm:f>
          </x14:formula1>
          <xm:sqref>D14:D18 B58:B62 B67:B71</xm:sqref>
        </x14:dataValidation>
        <x14:dataValidation type="list" allowBlank="1" showInputMessage="1" showErrorMessage="1">
          <x14:formula1>
            <xm:f>LISTAS!$B$1:$B$2</xm:f>
          </x14:formula1>
          <xm:sqref>B21</xm:sqref>
        </x14:dataValidation>
        <x14:dataValidation type="list" allowBlank="1" showInputMessage="1" showErrorMessage="1">
          <x14:formula1>
            <xm:f>LISTAS!$C$1:$C$3</xm:f>
          </x14:formula1>
          <xm:sqref>D31:D35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84" zoomScaleNormal="184" workbookViewId="0">
      <selection activeCell="C10" sqref="C10"/>
    </sheetView>
  </sheetViews>
  <sheetFormatPr baseColWidth="10" defaultRowHeight="15" x14ac:dyDescent="0.25"/>
  <sheetData>
    <row r="1" spans="1:3" x14ac:dyDescent="0.25">
      <c r="A1" t="s">
        <v>18</v>
      </c>
      <c r="B1">
        <v>0</v>
      </c>
      <c r="C1" t="s">
        <v>8</v>
      </c>
    </row>
    <row r="2" spans="1:3" x14ac:dyDescent="0.25">
      <c r="A2" t="s">
        <v>19</v>
      </c>
      <c r="B2">
        <v>1</v>
      </c>
      <c r="C2" t="s">
        <v>9</v>
      </c>
    </row>
    <row r="3" spans="1:3" x14ac:dyDescent="0.25">
      <c r="C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BUSTAMANTE</dc:creator>
  <cp:lastModifiedBy>BUSTAMANTE</cp:lastModifiedBy>
  <dcterms:created xsi:type="dcterms:W3CDTF">2021-10-13T22:06:23Z</dcterms:created>
  <dcterms:modified xsi:type="dcterms:W3CDTF">2021-10-13T23:55:54Z</dcterms:modified>
</cp:coreProperties>
</file>