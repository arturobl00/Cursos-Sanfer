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scritorio\DOCUMETOS\Curso Excel Sanfer III\"/>
    </mc:Choice>
  </mc:AlternateContent>
  <bookViews>
    <workbookView xWindow="0" yWindow="0" windowWidth="11490" windowHeight="457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5" i="1" l="1"/>
  <c r="G38" i="1" l="1"/>
  <c r="G34" i="1"/>
  <c r="G29" i="1"/>
  <c r="G25" i="1"/>
  <c r="G21" i="1"/>
  <c r="G17" i="1"/>
  <c r="G15" i="1"/>
  <c r="G11" i="1"/>
  <c r="H13" i="1"/>
</calcChain>
</file>

<file path=xl/comments1.xml><?xml version="1.0" encoding="utf-8"?>
<comments xmlns="http://schemas.openxmlformats.org/spreadsheetml/2006/main">
  <authors>
    <author>BUSTAMANTE</author>
  </authors>
  <commentList>
    <comment ref="G21" authorId="0" shapeId="0">
      <text>
        <r>
          <rPr>
            <b/>
            <sz val="9"/>
            <color indexed="81"/>
            <rFont val="Tahoma"/>
            <charset val="1"/>
          </rPr>
          <t>BUSTAMANTE:</t>
        </r>
        <r>
          <rPr>
            <sz val="9"/>
            <color indexed="81"/>
            <rFont val="Tahoma"/>
            <charset val="1"/>
          </rPr>
          <t xml:space="preserve">
ESTA FUNCIÓN Y LA DE CONTAR.SI.CONJUNTO NO PERMITEN DUPLICAR CRITERIOS EN LAS MISMAS COLUMNAS</t>
        </r>
      </text>
    </comment>
  </commentList>
</comments>
</file>

<file path=xl/sharedStrings.xml><?xml version="1.0" encoding="utf-8"?>
<sst xmlns="http://schemas.openxmlformats.org/spreadsheetml/2006/main" count="99" uniqueCount="40">
  <si>
    <t>Bloque 2 - Procesos - Sentencias</t>
  </si>
  <si>
    <t>SUMAR.SI</t>
  </si>
  <si>
    <t>CONTAR.SI</t>
  </si>
  <si>
    <t>PROMEDIO.SI</t>
  </si>
  <si>
    <t>FECHA</t>
  </si>
  <si>
    <t>VENDEDOR</t>
  </si>
  <si>
    <t>CONCEPTO</t>
  </si>
  <si>
    <t>TIPO VENTA</t>
  </si>
  <si>
    <t>IMPORTE VENTA</t>
  </si>
  <si>
    <t>LOTE</t>
  </si>
  <si>
    <t>CONTADO</t>
  </si>
  <si>
    <t>JORGE</t>
  </si>
  <si>
    <t>LOCAL</t>
  </si>
  <si>
    <t>CREDITO</t>
  </si>
  <si>
    <t>EMMANUEL</t>
  </si>
  <si>
    <t>CASA</t>
  </si>
  <si>
    <t>JOSÉ MARIA</t>
  </si>
  <si>
    <t>ELENA</t>
  </si>
  <si>
    <t>FUNCION SUMAR SI INTEGRA UNA CONDICIÓN QUE EVALUA LOS DATOS (FILTRA) ANTES DE REALIZAR EL PROCESO</t>
  </si>
  <si>
    <t>1.- ¿Cuál es el importe de las ventas de contado?</t>
  </si>
  <si>
    <t>2.- ¿CUÁL ES EL IMPORTE DE LAS VENTA POR?</t>
  </si>
  <si>
    <t>CLAUDIA</t>
  </si>
  <si>
    <t>3.- ¿CÚAL FUE EL IMPORTE DE LAS VENTAS POR CONCEPTO CASA?</t>
  </si>
  <si>
    <t>4.-¿CUÁL ES EL IMPORTE DE VENTAS DE CASAS Y LOTES?</t>
  </si>
  <si>
    <t>SUMAR.SI.CONJUNTO</t>
  </si>
  <si>
    <t>FUNCIÓN SUMAR SI CONJUNTO PERMITE AGREGAR MÁS DE UN CRITERIO A LAS SUMAS</t>
  </si>
  <si>
    <t>¿CUÁL ES EL IMPORTE DE VENTAS DE CASA VENDIDAS DE CONTADO?</t>
  </si>
  <si>
    <t>CONTAR.SI.CONJUNTO</t>
  </si>
  <si>
    <t>FUNCIÓN CONTAR.SI CUENTA ELEMENTOS DE UNA TABLA O COLECCIÓN EN BASE A UN CRITERIO</t>
  </si>
  <si>
    <t>¿Cuántas VENTAS REALIZO CLAUDIA?</t>
  </si>
  <si>
    <t>FUNCIÓN CONTAR.SI.CONJUNTO CONTAR LOS ELEMENTOS EN BASE A DOS O MAS CRITERIOS</t>
  </si>
  <si>
    <t>¿Cuántas VENTAS REALIZO CLAUDIA DE CONTADO?</t>
  </si>
  <si>
    <t>PROMEDIO.SI.CONJUNTO</t>
  </si>
  <si>
    <t>FUNCIÓN PROMEDIO.SI DETERMINA EL PROMEDIO EN BASE A UN CRITERIO</t>
  </si>
  <si>
    <t>¿Cuál ES EL PROMEDIO DE LAS VENTAS DE CREDITO</t>
  </si>
  <si>
    <t>FUNCIÓN PROMEDIO.SI.CONJUNTO DETERMINA EL PROMEDIO EN BASE A MÁS DE 1 CRITERIO</t>
  </si>
  <si>
    <t>¿Cuál ES EL PROMEDIO DE VENTAS DE LOTES A CREDITO POR EMMANUEL?</t>
  </si>
  <si>
    <t>Nota las operaciones anteriores tambien se pueden realizar</t>
  </si>
  <si>
    <t>con operadores relacionales indicando entre "" el operador</t>
  </si>
  <si>
    <t>Ejemplo sumar ventas si las fechas son mayores al 01/09/21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</si>
</sst>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4" fontId="0" fillId="0" borderId="0" xfId="0" applyNumberFormat="1"/>
    <xf numFmtId="44" fontId="0" fillId="0" borderId="0" xfId="1" applyFont="1"/>
    <xf numFmtId="44" fontId="3" fillId="0" borderId="0" xfId="1" applyFont="1"/>
    <xf numFmtId="44" fontId="0" fillId="0" borderId="1" xfId="1" applyFont="1" applyBorder="1"/>
    <xf numFmtId="0" fontId="0" fillId="0" borderId="0" xfId="0" applyFill="1" applyBorder="1"/>
    <xf numFmtId="0" fontId="0" fillId="2" borderId="0" xfId="0" applyFill="1" applyBorder="1"/>
    <xf numFmtId="0" fontId="0" fillId="0" borderId="1" xfId="0" applyBorder="1"/>
  </cellXfs>
  <cellStyles count="2">
    <cellStyle name="Moneda" xfId="1" builtinId="4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ventas" displayName="ventas" ref="A8:E30">
  <autoFilter ref="A8:E30"/>
  <tableColumns count="5">
    <tableColumn id="1" name="FECHA" totalsRowLabel="Total" dataDxfId="2"/>
    <tableColumn id="2" name="VENDEDOR"/>
    <tableColumn id="3" name="CONCEPTO"/>
    <tableColumn id="4" name="TIPO VENTA"/>
    <tableColumn id="5" name="IMPORTE VENTA" totalsRowFunction="sum" dataDxfId="1" totalsRowDxfId="0" dataCellStyle="Moneda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8"/>
  <sheetViews>
    <sheetView tabSelected="1" topLeftCell="A25" zoomScale="190" zoomScaleNormal="190" workbookViewId="0">
      <selection activeCell="E36" sqref="E36"/>
    </sheetView>
  </sheetViews>
  <sheetFormatPr baseColWidth="10" defaultRowHeight="15" x14ac:dyDescent="0.25"/>
  <cols>
    <col min="1" max="1" width="12.85546875" bestFit="1" customWidth="1"/>
    <col min="2" max="2" width="15.42578125" bestFit="1" customWidth="1"/>
    <col min="4" max="4" width="12.140625" customWidth="1"/>
    <col min="5" max="5" width="16.140625" customWidth="1"/>
    <col min="7" max="7" width="17.42578125" customWidth="1"/>
    <col min="8" max="8" width="15.4257812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</row>
    <row r="2" spans="1:8" x14ac:dyDescent="0.25">
      <c r="A2" s="1"/>
      <c r="B2" s="1"/>
      <c r="C2" s="1"/>
      <c r="D2" s="1"/>
      <c r="E2" s="1"/>
      <c r="F2" s="1"/>
      <c r="G2" s="1"/>
    </row>
    <row r="4" spans="1:8" x14ac:dyDescent="0.25">
      <c r="A4" s="2" t="s">
        <v>1</v>
      </c>
      <c r="B4" s="9" t="s">
        <v>24</v>
      </c>
      <c r="C4" s="9"/>
      <c r="G4" t="s">
        <v>10</v>
      </c>
    </row>
    <row r="5" spans="1:8" x14ac:dyDescent="0.25">
      <c r="A5" s="2" t="s">
        <v>2</v>
      </c>
      <c r="B5" s="9" t="s">
        <v>27</v>
      </c>
      <c r="C5" s="9"/>
      <c r="G5" t="s">
        <v>13</v>
      </c>
    </row>
    <row r="6" spans="1:8" x14ac:dyDescent="0.25">
      <c r="A6" s="2" t="s">
        <v>3</v>
      </c>
      <c r="B6" s="9" t="s">
        <v>32</v>
      </c>
      <c r="C6" s="9"/>
    </row>
    <row r="8" spans="1:8" x14ac:dyDescent="0.25">
      <c r="A8" t="s">
        <v>4</v>
      </c>
      <c r="B8" t="s">
        <v>5</v>
      </c>
      <c r="C8" t="s">
        <v>6</v>
      </c>
      <c r="D8" t="s">
        <v>7</v>
      </c>
      <c r="E8" t="s">
        <v>8</v>
      </c>
      <c r="G8" t="s">
        <v>18</v>
      </c>
    </row>
    <row r="9" spans="1:8" x14ac:dyDescent="0.25">
      <c r="A9" s="3">
        <v>44409</v>
      </c>
      <c r="B9" t="s">
        <v>21</v>
      </c>
      <c r="C9" t="s">
        <v>9</v>
      </c>
      <c r="D9" t="s">
        <v>10</v>
      </c>
      <c r="E9" s="4">
        <v>100000</v>
      </c>
    </row>
    <row r="10" spans="1:8" x14ac:dyDescent="0.25">
      <c r="A10" s="3">
        <v>44418</v>
      </c>
      <c r="B10" t="s">
        <v>11</v>
      </c>
      <c r="C10" t="s">
        <v>12</v>
      </c>
      <c r="D10" t="s">
        <v>13</v>
      </c>
      <c r="E10" s="4">
        <v>50000</v>
      </c>
      <c r="G10" t="s">
        <v>19</v>
      </c>
    </row>
    <row r="11" spans="1:8" x14ac:dyDescent="0.25">
      <c r="A11" s="3">
        <v>44423</v>
      </c>
      <c r="B11" t="s">
        <v>14</v>
      </c>
      <c r="C11" t="s">
        <v>15</v>
      </c>
      <c r="D11" t="s">
        <v>13</v>
      </c>
      <c r="E11" s="4">
        <v>1000000</v>
      </c>
      <c r="G11" s="6">
        <f>SUMIF(ventas[TIPO VENTA],"CONTADO",ventas[IMPORTE VENTA])</f>
        <v>4865000</v>
      </c>
    </row>
    <row r="12" spans="1:8" x14ac:dyDescent="0.25">
      <c r="A12" s="3">
        <v>44428</v>
      </c>
      <c r="B12" t="s">
        <v>16</v>
      </c>
      <c r="C12" t="s">
        <v>9</v>
      </c>
      <c r="D12" t="s">
        <v>10</v>
      </c>
      <c r="E12" s="4">
        <v>200000</v>
      </c>
      <c r="G12" t="s">
        <v>20</v>
      </c>
    </row>
    <row r="13" spans="1:8" x14ac:dyDescent="0.25">
      <c r="A13" s="3">
        <v>44438</v>
      </c>
      <c r="B13" t="s">
        <v>17</v>
      </c>
      <c r="C13" t="s">
        <v>15</v>
      </c>
      <c r="D13" t="s">
        <v>10</v>
      </c>
      <c r="E13" s="4">
        <v>2000000</v>
      </c>
      <c r="G13" s="2" t="s">
        <v>13</v>
      </c>
      <c r="H13" s="6">
        <f>SUMIF(ventas[TIPO VENTA],G13,ventas[IMPORTE VENTA])</f>
        <v>10182000</v>
      </c>
    </row>
    <row r="14" spans="1:8" x14ac:dyDescent="0.25">
      <c r="A14" s="3">
        <v>44449</v>
      </c>
      <c r="B14" t="s">
        <v>21</v>
      </c>
      <c r="C14" t="s">
        <v>9</v>
      </c>
      <c r="D14" t="s">
        <v>13</v>
      </c>
      <c r="E14" s="4">
        <v>150000</v>
      </c>
      <c r="G14" s="7" t="s">
        <v>22</v>
      </c>
    </row>
    <row r="15" spans="1:8" x14ac:dyDescent="0.25">
      <c r="A15" s="3">
        <v>44454</v>
      </c>
      <c r="B15" t="s">
        <v>21</v>
      </c>
      <c r="C15" t="s">
        <v>15</v>
      </c>
      <c r="D15" t="s">
        <v>13</v>
      </c>
      <c r="E15" s="4">
        <v>2000000</v>
      </c>
      <c r="G15" s="6">
        <f>SUMIF(ventas[CONCEPTO],"CASA",ventas[IMPORTE VENTA])</f>
        <v>13300000</v>
      </c>
    </row>
    <row r="16" spans="1:8" x14ac:dyDescent="0.25">
      <c r="A16" s="3">
        <v>44459</v>
      </c>
      <c r="B16" t="s">
        <v>16</v>
      </c>
      <c r="C16" t="s">
        <v>12</v>
      </c>
      <c r="D16" t="s">
        <v>10</v>
      </c>
      <c r="E16" s="4">
        <v>100000</v>
      </c>
      <c r="G16" s="8" t="s">
        <v>23</v>
      </c>
    </row>
    <row r="17" spans="1:7" x14ac:dyDescent="0.25">
      <c r="A17" s="3">
        <v>44464</v>
      </c>
      <c r="B17" t="s">
        <v>17</v>
      </c>
      <c r="C17" t="s">
        <v>15</v>
      </c>
      <c r="D17" t="s">
        <v>13</v>
      </c>
      <c r="E17" s="4">
        <v>1500000</v>
      </c>
      <c r="G17" s="6">
        <f>SUMIF(ventas[CONCEPTO],"CASA",ventas[IMPORTE VENTA])+SUMIF(ventas[CONCEPTO],"LOTE",ventas[IMPORTE VENTA])</f>
        <v>14725000</v>
      </c>
    </row>
    <row r="18" spans="1:7" x14ac:dyDescent="0.25">
      <c r="A18" s="3">
        <v>44469</v>
      </c>
      <c r="B18" t="s">
        <v>14</v>
      </c>
      <c r="C18" t="s">
        <v>12</v>
      </c>
      <c r="D18" t="s">
        <v>13</v>
      </c>
      <c r="E18" s="4">
        <v>52000</v>
      </c>
      <c r="G18" s="4"/>
    </row>
    <row r="19" spans="1:7" x14ac:dyDescent="0.25">
      <c r="A19" s="3">
        <v>44471</v>
      </c>
      <c r="B19" t="s">
        <v>17</v>
      </c>
      <c r="C19" t="s">
        <v>15</v>
      </c>
      <c r="D19" t="s">
        <v>10</v>
      </c>
      <c r="E19" s="4">
        <v>2000000</v>
      </c>
      <c r="G19" t="s">
        <v>25</v>
      </c>
    </row>
    <row r="20" spans="1:7" x14ac:dyDescent="0.25">
      <c r="A20" s="3">
        <v>44473</v>
      </c>
      <c r="B20" t="s">
        <v>14</v>
      </c>
      <c r="C20" t="s">
        <v>9</v>
      </c>
      <c r="D20" t="s">
        <v>13</v>
      </c>
      <c r="E20" s="4">
        <v>300000</v>
      </c>
      <c r="G20" t="s">
        <v>26</v>
      </c>
    </row>
    <row r="21" spans="1:7" x14ac:dyDescent="0.25">
      <c r="A21" s="3">
        <v>44473</v>
      </c>
      <c r="B21" t="s">
        <v>21</v>
      </c>
      <c r="C21" t="s">
        <v>9</v>
      </c>
      <c r="D21" t="s">
        <v>10</v>
      </c>
      <c r="E21" s="5">
        <v>80000</v>
      </c>
      <c r="G21" s="6">
        <f>SUMIFS(ventas[IMPORTE VENTA],ventas[CONCEPTO],"CASA",ventas[TIPO VENTA],"CONTADO")</f>
        <v>4000000</v>
      </c>
    </row>
    <row r="22" spans="1:7" x14ac:dyDescent="0.25">
      <c r="A22" s="3">
        <v>44475</v>
      </c>
      <c r="B22" t="s">
        <v>14</v>
      </c>
      <c r="C22" t="s">
        <v>15</v>
      </c>
      <c r="D22" t="s">
        <v>13</v>
      </c>
      <c r="E22" s="5">
        <v>1800000</v>
      </c>
    </row>
    <row r="23" spans="1:7" x14ac:dyDescent="0.25">
      <c r="A23" s="3">
        <v>44476</v>
      </c>
      <c r="B23" t="s">
        <v>16</v>
      </c>
      <c r="C23" t="s">
        <v>9</v>
      </c>
      <c r="D23" t="s">
        <v>13</v>
      </c>
      <c r="E23" s="5">
        <v>50000</v>
      </c>
      <c r="G23" t="s">
        <v>28</v>
      </c>
    </row>
    <row r="24" spans="1:7" x14ac:dyDescent="0.25">
      <c r="A24" s="3">
        <v>44477</v>
      </c>
      <c r="B24" t="s">
        <v>21</v>
      </c>
      <c r="C24" t="s">
        <v>12</v>
      </c>
      <c r="D24" t="s">
        <v>10</v>
      </c>
      <c r="E24" s="5">
        <v>20000</v>
      </c>
      <c r="G24" t="s">
        <v>29</v>
      </c>
    </row>
    <row r="25" spans="1:7" x14ac:dyDescent="0.25">
      <c r="A25" s="3">
        <v>44478</v>
      </c>
      <c r="B25" t="s">
        <v>17</v>
      </c>
      <c r="C25" t="s">
        <v>9</v>
      </c>
      <c r="D25" t="s">
        <v>10</v>
      </c>
      <c r="E25" s="5">
        <v>200000</v>
      </c>
      <c r="G25" s="2">
        <f>COUNTIF(ventas[VENDEDOR],"CLAUDIA")</f>
        <v>6</v>
      </c>
    </row>
    <row r="26" spans="1:7" x14ac:dyDescent="0.25">
      <c r="A26" s="3">
        <v>44479</v>
      </c>
      <c r="B26" t="s">
        <v>14</v>
      </c>
      <c r="C26" t="s">
        <v>9</v>
      </c>
      <c r="D26" t="s">
        <v>10</v>
      </c>
      <c r="E26" s="5">
        <v>75000</v>
      </c>
    </row>
    <row r="27" spans="1:7" x14ac:dyDescent="0.25">
      <c r="A27" s="3">
        <v>44480</v>
      </c>
      <c r="B27" t="s">
        <v>14</v>
      </c>
      <c r="C27" t="s">
        <v>9</v>
      </c>
      <c r="D27" t="s">
        <v>10</v>
      </c>
      <c r="E27" s="5">
        <v>90000</v>
      </c>
      <c r="G27" t="s">
        <v>30</v>
      </c>
    </row>
    <row r="28" spans="1:7" x14ac:dyDescent="0.25">
      <c r="A28" s="3">
        <v>44481</v>
      </c>
      <c r="B28" t="s">
        <v>17</v>
      </c>
      <c r="C28" t="s">
        <v>9</v>
      </c>
      <c r="D28" t="s">
        <v>13</v>
      </c>
      <c r="E28" s="5">
        <v>180000</v>
      </c>
      <c r="G28" t="s">
        <v>31</v>
      </c>
    </row>
    <row r="29" spans="1:7" x14ac:dyDescent="0.25">
      <c r="A29" s="3">
        <v>44482</v>
      </c>
      <c r="B29" t="s">
        <v>16</v>
      </c>
      <c r="C29" t="s">
        <v>15</v>
      </c>
      <c r="D29" t="s">
        <v>13</v>
      </c>
      <c r="E29" s="5">
        <v>3000000</v>
      </c>
      <c r="G29" s="2">
        <f>COUNTIFS(ventas[VENDEDOR],"CLAUDIA",ventas[TIPO VENTA],"CONTADO")</f>
        <v>3</v>
      </c>
    </row>
    <row r="30" spans="1:7" x14ac:dyDescent="0.25">
      <c r="A30" s="3">
        <v>44483</v>
      </c>
      <c r="B30" t="s">
        <v>21</v>
      </c>
      <c r="C30" t="s">
        <v>12</v>
      </c>
      <c r="D30" t="s">
        <v>13</v>
      </c>
      <c r="E30" s="5">
        <v>100000</v>
      </c>
    </row>
    <row r="31" spans="1:7" x14ac:dyDescent="0.25">
      <c r="G31" t="s">
        <v>33</v>
      </c>
    </row>
    <row r="32" spans="1:7" x14ac:dyDescent="0.25">
      <c r="B32" t="s">
        <v>37</v>
      </c>
      <c r="G32" t="s">
        <v>34</v>
      </c>
    </row>
    <row r="33" spans="2:7" x14ac:dyDescent="0.25">
      <c r="B33" t="s">
        <v>38</v>
      </c>
    </row>
    <row r="34" spans="2:7" x14ac:dyDescent="0.25">
      <c r="B34" t="s">
        <v>39</v>
      </c>
      <c r="G34" s="6">
        <f>AVERAGEIF(ventas[TIPO VENTA],"CREDITO",ventas[IMPORTE VENTA])</f>
        <v>848500</v>
      </c>
    </row>
    <row r="35" spans="2:7" x14ac:dyDescent="0.25">
      <c r="B35" s="6">
        <f>SUMIF(ventas[FECHA],"&gt;01/09/2021",ventas[IMPORTE VENTA])</f>
        <v>11697000</v>
      </c>
    </row>
    <row r="36" spans="2:7" x14ac:dyDescent="0.25">
      <c r="G36" t="s">
        <v>35</v>
      </c>
    </row>
    <row r="37" spans="2:7" x14ac:dyDescent="0.25">
      <c r="G37" t="s">
        <v>36</v>
      </c>
    </row>
    <row r="38" spans="2:7" x14ac:dyDescent="0.25">
      <c r="G38" s="6">
        <f>AVERAGEIFS(ventas[IMPORTE VENTA],ventas[TIPO VENTA],"CREDITO",ventas[CONCEPTO],"LOTE",ventas[VENDEDOR],"EMMANUEL")</f>
        <v>300000</v>
      </c>
    </row>
  </sheetData>
  <mergeCells count="4">
    <mergeCell ref="A1:G2"/>
    <mergeCell ref="B4:C4"/>
    <mergeCell ref="B5:C5"/>
    <mergeCell ref="B6:C6"/>
  </mergeCells>
  <dataValidations count="1">
    <dataValidation type="list" allowBlank="1" showInputMessage="1" showErrorMessage="1" sqref="G13">
      <formula1>$G$4:$G$5</formula1>
    </dataValidation>
  </dataValidations>
  <pageMargins left="0.7" right="0.7" top="0.75" bottom="0.75" header="0.3" footer="0.3"/>
  <pageSetup paperSize="9" orientation="portrait" horizontalDpi="0" verticalDpi="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BUSTAMANTE</dc:creator>
  <cp:lastModifiedBy>BUSTAMANTE</cp:lastModifiedBy>
  <dcterms:created xsi:type="dcterms:W3CDTF">2021-10-14T22:02:04Z</dcterms:created>
  <dcterms:modified xsi:type="dcterms:W3CDTF">2021-10-14T23:57:35Z</dcterms:modified>
</cp:coreProperties>
</file>