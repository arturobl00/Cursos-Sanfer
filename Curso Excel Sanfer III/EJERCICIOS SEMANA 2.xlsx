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-25320" yWindow="-2400" windowWidth="25440" windowHeight="15390"/>
  </bookViews>
  <sheets>
    <sheet name="Hoja1" sheetId="1" r:id="rId1"/>
    <sheet name="Hoja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" i="1" l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59" i="1"/>
  <c r="C60" i="1"/>
  <c r="B60" i="1" s="1"/>
  <c r="C61" i="1"/>
  <c r="B61" i="1" s="1"/>
  <c r="C62" i="1"/>
  <c r="C63" i="1"/>
  <c r="B63" i="1" s="1"/>
  <c r="C64" i="1"/>
  <c r="B64" i="1" s="1"/>
  <c r="C65" i="1"/>
  <c r="B65" i="1" s="1"/>
  <c r="C66" i="1"/>
  <c r="B66" i="1" s="1"/>
  <c r="C67" i="1"/>
  <c r="C68" i="1"/>
  <c r="C69" i="1"/>
  <c r="B69" i="1" s="1"/>
  <c r="C70" i="1"/>
  <c r="C71" i="1"/>
  <c r="B71" i="1" s="1"/>
  <c r="C72" i="1"/>
  <c r="B72" i="1" s="1"/>
  <c r="C73" i="1"/>
  <c r="B73" i="1" s="1"/>
  <c r="C74" i="1"/>
  <c r="B74" i="1" s="1"/>
  <c r="C75" i="1"/>
  <c r="C76" i="1"/>
  <c r="C77" i="1"/>
  <c r="C78" i="1"/>
  <c r="C79" i="1"/>
  <c r="B79" i="1" s="1"/>
  <c r="C80" i="1"/>
  <c r="C81" i="1"/>
  <c r="B81" i="1" s="1"/>
  <c r="C82" i="1"/>
  <c r="B82" i="1" s="1"/>
  <c r="C83" i="1"/>
  <c r="C84" i="1"/>
  <c r="C85" i="1"/>
  <c r="C59" i="1"/>
  <c r="B56" i="1"/>
  <c r="B77" i="1" l="1"/>
  <c r="B84" i="1"/>
  <c r="B76" i="1"/>
  <c r="B68" i="1"/>
  <c r="B83" i="1"/>
  <c r="B75" i="1"/>
  <c r="B67" i="1"/>
  <c r="B80" i="1"/>
  <c r="B78" i="1"/>
  <c r="B70" i="1"/>
  <c r="B62" i="1"/>
  <c r="B85" i="1"/>
  <c r="B59" i="1"/>
</calcChain>
</file>

<file path=xl/comments1.xml><?xml version="1.0" encoding="utf-8"?>
<comments xmlns="http://schemas.openxmlformats.org/spreadsheetml/2006/main">
  <authors>
    <author>JABL</author>
  </authors>
  <commentList>
    <comment ref="A43" authorId="0" shapeId="0">
      <text>
        <r>
          <rPr>
            <b/>
            <sz val="9"/>
            <color indexed="81"/>
            <rFont val="Tahoma"/>
            <family val="2"/>
          </rPr>
          <t>JABL:</t>
        </r>
        <r>
          <rPr>
            <sz val="9"/>
            <color indexed="81"/>
            <rFont val="Tahoma"/>
            <family val="2"/>
          </rPr>
          <t xml:space="preserve">
Se genera en automatico con las 3 primeras letras del nombre del producto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</rPr>
          <t>JABL:</t>
        </r>
        <r>
          <rPr>
            <sz val="9"/>
            <color indexed="81"/>
            <rFont val="Tahoma"/>
            <family val="2"/>
          </rPr>
          <t xml:space="preserve">
Se genera automaticamente mediante la función aleatorio.entre
 tomando como referencia la variable menor y mayor</t>
        </r>
      </text>
    </comment>
    <comment ref="D43" authorId="0" shapeId="0">
      <text>
        <r>
          <rPr>
            <b/>
            <sz val="9"/>
            <color indexed="81"/>
            <rFont val="Tahoma"/>
            <family val="2"/>
          </rPr>
          <t>JABL:</t>
        </r>
        <r>
          <rPr>
            <sz val="9"/>
            <color indexed="81"/>
            <rFont val="Tahoma"/>
            <family val="2"/>
          </rPr>
          <t xml:space="preserve">
Crear una lista desplegable como validación los elementos seran 5%, 10% y 15%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JABL:</t>
        </r>
        <r>
          <rPr>
            <sz val="9"/>
            <color indexed="81"/>
            <rFont val="Tahoma"/>
            <family val="2"/>
          </rPr>
          <t xml:space="preserve">
Calcular automaticamente el precio de venta conciderando el descuento</t>
        </r>
      </text>
    </comment>
  </commentList>
</comments>
</file>

<file path=xl/sharedStrings.xml><?xml version="1.0" encoding="utf-8"?>
<sst xmlns="http://schemas.openxmlformats.org/spreadsheetml/2006/main" count="115" uniqueCount="68">
  <si>
    <t>Ejercicios Bloque 2 Formulas, Funciones y Sentencias</t>
  </si>
  <si>
    <t>Producto</t>
  </si>
  <si>
    <t>Cantidad</t>
  </si>
  <si>
    <t>Precio U</t>
  </si>
  <si>
    <t>% Descuento</t>
  </si>
  <si>
    <t>SubTotal</t>
  </si>
  <si>
    <t>Cocacola</t>
  </si>
  <si>
    <t>Fanta</t>
  </si>
  <si>
    <t>Pepsi</t>
  </si>
  <si>
    <t>Agua</t>
  </si>
  <si>
    <t>Leche</t>
  </si>
  <si>
    <t>Galletas</t>
  </si>
  <si>
    <t>Ejercicio1 Formulas referencias relativas (Realizar la formula en las celdas sombreadas)</t>
  </si>
  <si>
    <t>Ejercicio 2 Formulas referencia absoluta</t>
  </si>
  <si>
    <t>Precio en Dolares</t>
  </si>
  <si>
    <t>Precio en Pesos MX</t>
  </si>
  <si>
    <t>Precio en Pesos con Iva</t>
  </si>
  <si>
    <t>Repetidor</t>
  </si>
  <si>
    <t>Cable UTP</t>
  </si>
  <si>
    <t>Router</t>
  </si>
  <si>
    <t>Antena</t>
  </si>
  <si>
    <t>Switch</t>
  </si>
  <si>
    <t>Firewall</t>
  </si>
  <si>
    <t>Conectores</t>
  </si>
  <si>
    <t>Precio Dólar</t>
  </si>
  <si>
    <t>% iva</t>
  </si>
  <si>
    <t>Ejercicio 3 Formulas con Variables usar el mismo formato pero a gusto de ustedes crear una variable para el precio dólar e iva</t>
  </si>
  <si>
    <t>Ejercicio 4 Funciones -&gt; Calcular mediante funciones simpres los siguientes datos obtenidos de la tabla</t>
  </si>
  <si>
    <t>Elemento</t>
  </si>
  <si>
    <t>Importe</t>
  </si>
  <si>
    <t>Pan</t>
  </si>
  <si>
    <t>Donuts</t>
  </si>
  <si>
    <t>Pasteles</t>
  </si>
  <si>
    <t>Tartas</t>
  </si>
  <si>
    <t>Suma</t>
  </si>
  <si>
    <t>Promedio</t>
  </si>
  <si>
    <t>Costo mas alto</t>
  </si>
  <si>
    <t>Costo mas bajo</t>
  </si>
  <si>
    <t>Clave de producto</t>
  </si>
  <si>
    <t>Motorola g8</t>
  </si>
  <si>
    <t>Advio Lf</t>
  </si>
  <si>
    <t>Okkta 33</t>
  </si>
  <si>
    <t>Millework</t>
  </si>
  <si>
    <t>Hamgoru</t>
  </si>
  <si>
    <t>Adidas</t>
  </si>
  <si>
    <t>Precio</t>
  </si>
  <si>
    <t>Descuento</t>
  </si>
  <si>
    <t>Precio Venta</t>
  </si>
  <si>
    <t>Ejercicio 6 Sentencia SI</t>
  </si>
  <si>
    <t>Fecha Actual</t>
  </si>
  <si>
    <t>Cuenta No.</t>
  </si>
  <si>
    <t>Fecha Factura</t>
  </si>
  <si>
    <t>Fecha Vencim.</t>
  </si>
  <si>
    <t>Monto</t>
  </si>
  <si>
    <t>Vendedor</t>
  </si>
  <si>
    <t># de Días</t>
  </si>
  <si>
    <t>Carmen</t>
  </si>
  <si>
    <t>Pedro</t>
  </si>
  <si>
    <t>Luisa</t>
  </si>
  <si>
    <t>Maria</t>
  </si>
  <si>
    <t>Juan</t>
  </si>
  <si>
    <t>Completa mediante una función SI la columna # de Días, Si la fecha actual es mayor a la fecha de Vencimiento mostrara el número de días atrasados, si la fecha actual es menor mostrara un texto NO VENCIDA</t>
  </si>
  <si>
    <t>Ejercico 7 Sentencia Si anidada</t>
  </si>
  <si>
    <t>Precio Producto</t>
  </si>
  <si>
    <t>Mayor</t>
  </si>
  <si>
    <t>Menor</t>
  </si>
  <si>
    <t>Completa mediante una función SI anidada el descuento y precio de venta, para ello determina Si el PRECIO PRODUCTO es mayor al promedio de LOS PRECIOS PRODUCTO despliega y aplica el 10% de descuento, si es menor al promedio de PRECIO PRODUCTO despliega y aplica el 2% de descuento si es igual al promedio de PRECIO PRODUCTO no apliques ningun descuento.</t>
  </si>
  <si>
    <t>Ejercicio 5 formulas y funciones siga las indicaciones de los comentarios de cada encabezado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</si>
</sst>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56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3" borderId="0" applyNumberFormat="0" applyBorder="0" applyProtection="0"/>
    <xf numFmtId="0" fontId="1" fillId="2" borderId="0"/>
    <xf numFmtId="0" fontId="8" fillId="0" borderId="0"/>
  </cellStyleXfs>
  <cellXfs count="42">
    <xf numFmtId="0" fontId="0" fillId="0" borderId="0" xfId="0"/>
    <xf numFmtId="0" fontId="0" fillId="0" borderId="1" xfId="0" applyBorder="1"/>
    <xf numFmtId="44" fontId="0" fillId="0" borderId="1" xfId="1" applyFont="1" applyBorder="1"/>
    <xf numFmtId="9" fontId="0" fillId="0" borderId="1" xfId="2" applyFont="1" applyBorder="1"/>
    <xf numFmtId="2" fontId="0" fillId="0" borderId="1" xfId="0" applyNumberFormat="1" applyBorder="1"/>
    <xf numFmtId="0" fontId="5" fillId="0" borderId="1" xfId="0" applyFont="1" applyBorder="1"/>
    <xf numFmtId="0" fontId="5" fillId="0" borderId="2" xfId="0" applyFont="1" applyFill="1" applyBorder="1"/>
    <xf numFmtId="0" fontId="5" fillId="0" borderId="0" xfId="0" applyFont="1" applyFill="1" applyBorder="1"/>
    <xf numFmtId="0" fontId="1" fillId="2" borderId="3" xfId="5" applyBorder="1"/>
    <xf numFmtId="44" fontId="1" fillId="2" borderId="3" xfId="1" applyFill="1" applyBorder="1"/>
    <xf numFmtId="0" fontId="1" fillId="2" borderId="4" xfId="5" applyBorder="1"/>
    <xf numFmtId="0" fontId="3" fillId="3" borderId="1" xfId="4" applyBorder="1"/>
    <xf numFmtId="0" fontId="3" fillId="3" borderId="5" xfId="4" applyBorder="1" applyAlignment="1">
      <alignment horizontal="right"/>
    </xf>
    <xf numFmtId="44" fontId="1" fillId="2" borderId="6" xfId="1" applyFill="1" applyBorder="1"/>
    <xf numFmtId="44" fontId="1" fillId="2" borderId="7" xfId="1" applyFill="1" applyBorder="1"/>
    <xf numFmtId="0" fontId="3" fillId="3" borderId="1" xfId="4" applyBorder="1" applyAlignment="1">
      <alignment horizontal="left"/>
    </xf>
    <xf numFmtId="0" fontId="1" fillId="2" borderId="1" xfId="5" applyBorder="1"/>
    <xf numFmtId="0" fontId="9" fillId="0" borderId="1" xfId="6" applyFont="1" applyBorder="1" applyAlignment="1">
      <alignment horizontal="center" wrapText="1"/>
    </xf>
    <xf numFmtId="14" fontId="9" fillId="0" borderId="1" xfId="6" applyNumberFormat="1" applyFont="1" applyBorder="1" applyAlignment="1">
      <alignment horizontal="center" vertical="center"/>
    </xf>
    <xf numFmtId="14" fontId="8" fillId="0" borderId="0" xfId="6" applyNumberFormat="1" applyAlignment="1">
      <alignment horizontal="right"/>
    </xf>
    <xf numFmtId="0" fontId="8" fillId="0" borderId="0" xfId="6" applyAlignment="1">
      <alignment horizontal="right"/>
    </xf>
    <xf numFmtId="0" fontId="8" fillId="0" borderId="0" xfId="6"/>
    <xf numFmtId="0" fontId="9" fillId="0" borderId="0" xfId="6" applyFont="1" applyAlignment="1">
      <alignment horizontal="center" wrapText="1"/>
    </xf>
    <xf numFmtId="0" fontId="8" fillId="0" borderId="0" xfId="6" applyAlignment="1">
      <alignment horizontal="center"/>
    </xf>
    <xf numFmtId="0" fontId="10" fillId="4" borderId="1" xfId="3" applyFont="1" applyFill="1" applyBorder="1" applyAlignment="1" applyProtection="1">
      <alignment horizontal="center" vertical="center" wrapText="1"/>
    </xf>
    <xf numFmtId="14" fontId="10" fillId="4" borderId="1" xfId="3" applyNumberFormat="1" applyFont="1" applyFill="1" applyBorder="1" applyAlignment="1" applyProtection="1">
      <alignment horizontal="center" vertical="center" wrapText="1"/>
    </xf>
    <xf numFmtId="0" fontId="10" fillId="4" borderId="1" xfId="3" applyNumberFormat="1" applyFont="1" applyFill="1" applyBorder="1" applyAlignment="1" applyProtection="1">
      <alignment horizontal="center" vertical="center" wrapText="1"/>
    </xf>
    <xf numFmtId="164" fontId="10" fillId="4" borderId="1" xfId="3" applyNumberFormat="1" applyFont="1" applyFill="1" applyBorder="1" applyAlignment="1" applyProtection="1">
      <alignment horizontal="center" vertical="center"/>
    </xf>
    <xf numFmtId="164" fontId="10" fillId="4" borderId="1" xfId="3" applyNumberFormat="1" applyFont="1" applyFill="1" applyBorder="1" applyAlignment="1" applyProtection="1">
      <alignment horizontal="center" vertical="center" wrapText="1"/>
    </xf>
    <xf numFmtId="0" fontId="8" fillId="0" borderId="1" xfId="6" applyBorder="1" applyAlignment="1">
      <alignment horizontal="center"/>
    </xf>
    <xf numFmtId="14" fontId="11" fillId="0" borderId="1" xfId="6" applyNumberFormat="1" applyFont="1" applyBorder="1" applyAlignment="1">
      <alignment horizontal="right"/>
    </xf>
    <xf numFmtId="14" fontId="12" fillId="0" borderId="1" xfId="6" applyNumberFormat="1" applyFont="1" applyBorder="1" applyAlignment="1">
      <alignment horizontal="right" wrapText="1"/>
    </xf>
    <xf numFmtId="164" fontId="11" fillId="0" borderId="1" xfId="1" applyNumberFormat="1" applyFont="1" applyFill="1" applyBorder="1" applyProtection="1"/>
    <xf numFmtId="164" fontId="11" fillId="0" borderId="1" xfId="1" applyNumberFormat="1" applyFont="1" applyFill="1" applyBorder="1" applyAlignment="1" applyProtection="1">
      <alignment horizontal="center"/>
    </xf>
    <xf numFmtId="0" fontId="12" fillId="0" borderId="1" xfId="6" applyFont="1" applyBorder="1" applyAlignment="1">
      <alignment horizontal="center" wrapText="1"/>
    </xf>
    <xf numFmtId="9" fontId="0" fillId="0" borderId="0" xfId="2" applyFont="1"/>
    <xf numFmtId="44" fontId="0" fillId="0" borderId="1" xfId="0" applyNumberFormat="1" applyBorder="1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44" fontId="0" fillId="5" borderId="1" xfId="1" applyFont="1" applyFill="1" applyBorder="1"/>
    <xf numFmtId="0" fontId="0" fillId="6" borderId="1" xfId="0" applyFill="1" applyBorder="1"/>
    <xf numFmtId="9" fontId="0" fillId="5" borderId="1" xfId="2" applyFont="1" applyFill="1" applyBorder="1"/>
  </cellXfs>
  <cellStyles count="7">
    <cellStyle name="Encabezado 3 2" xfId="4"/>
    <cellStyle name="Encabezado 4" xfId="3" builtinId="19"/>
    <cellStyle name="GrayCell 2" xfId="5"/>
    <cellStyle name="Moneda" xfId="1" builtinId="4"/>
    <cellStyle name="Normal" xfId="0" builtinId="0"/>
    <cellStyle name="Normal 2" xfId="6"/>
    <cellStyle name="Porcentaje" xfId="2" builtinId="5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97"/>
  <sheetViews>
    <sheetView tabSelected="1" topLeftCell="A52" zoomScale="170" zoomScaleNormal="170" workbookViewId="0">
      <selection activeCell="D36" sqref="D36"/>
    </sheetView>
  </sheetViews>
  <sheetFormatPr baseColWidth="10" defaultRowHeight="15" x14ac:dyDescent="0.25"/>
  <cols>
    <col min="1" max="1" width="17.42578125" customWidth="1"/>
    <col min="2" max="2" width="17.140625" customWidth="1"/>
    <col min="3" max="3" width="18.28515625" bestFit="1" customWidth="1"/>
    <col min="4" max="4" width="21.7109375" bestFit="1" customWidth="1"/>
    <col min="5" max="6" width="15.85546875" customWidth="1"/>
  </cols>
  <sheetData>
    <row r="1" spans="1:9" x14ac:dyDescent="0.25">
      <c r="A1" s="37" t="s">
        <v>0</v>
      </c>
      <c r="B1" s="37"/>
      <c r="C1" s="37"/>
      <c r="D1" s="37"/>
      <c r="E1" s="37"/>
      <c r="F1" s="37"/>
    </row>
    <row r="2" spans="1:9" x14ac:dyDescent="0.25">
      <c r="A2" s="37"/>
      <c r="B2" s="37"/>
      <c r="C2" s="37"/>
      <c r="D2" s="37"/>
      <c r="E2" s="37"/>
      <c r="F2" s="37"/>
    </row>
    <row r="3" spans="1:9" x14ac:dyDescent="0.25">
      <c r="A3" s="37"/>
      <c r="B3" s="37"/>
      <c r="C3" s="37"/>
      <c r="D3" s="37"/>
      <c r="E3" s="37"/>
      <c r="F3" s="37"/>
    </row>
    <row r="5" spans="1:9" x14ac:dyDescent="0.25">
      <c r="A5" t="s">
        <v>12</v>
      </c>
    </row>
    <row r="6" spans="1:9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</row>
    <row r="7" spans="1:9" x14ac:dyDescent="0.25">
      <c r="A7" s="1" t="s">
        <v>6</v>
      </c>
      <c r="B7" s="4">
        <v>1</v>
      </c>
      <c r="C7" s="2">
        <v>10</v>
      </c>
      <c r="D7" s="3">
        <v>0.05</v>
      </c>
      <c r="E7" s="39"/>
    </row>
    <row r="8" spans="1:9" x14ac:dyDescent="0.25">
      <c r="A8" s="1" t="s">
        <v>7</v>
      </c>
      <c r="B8" s="4">
        <v>2</v>
      </c>
      <c r="C8" s="2">
        <v>15</v>
      </c>
      <c r="D8" s="3">
        <v>0.1</v>
      </c>
      <c r="E8" s="39"/>
    </row>
    <row r="9" spans="1:9" x14ac:dyDescent="0.25">
      <c r="A9" s="1" t="s">
        <v>8</v>
      </c>
      <c r="B9" s="4">
        <v>5</v>
      </c>
      <c r="C9" s="2">
        <v>20</v>
      </c>
      <c r="D9" s="3">
        <v>0.05</v>
      </c>
      <c r="E9" s="39"/>
    </row>
    <row r="10" spans="1:9" x14ac:dyDescent="0.25">
      <c r="A10" s="1" t="s">
        <v>9</v>
      </c>
      <c r="B10" s="4">
        <v>1</v>
      </c>
      <c r="C10" s="2">
        <v>14</v>
      </c>
      <c r="D10" s="3">
        <v>7.0000000000000007E-2</v>
      </c>
      <c r="E10" s="39"/>
    </row>
    <row r="11" spans="1:9" x14ac:dyDescent="0.25">
      <c r="A11" s="1" t="s">
        <v>10</v>
      </c>
      <c r="B11" s="4">
        <v>5</v>
      </c>
      <c r="C11" s="2">
        <v>14</v>
      </c>
      <c r="D11" s="3">
        <v>0.11</v>
      </c>
      <c r="E11" s="39"/>
    </row>
    <row r="12" spans="1:9" x14ac:dyDescent="0.25">
      <c r="A12" s="1" t="s">
        <v>11</v>
      </c>
      <c r="B12" s="4">
        <v>1</v>
      </c>
      <c r="C12" s="2">
        <v>10</v>
      </c>
      <c r="D12" s="3">
        <v>0.12</v>
      </c>
      <c r="E12" s="39"/>
    </row>
    <row r="14" spans="1:9" x14ac:dyDescent="0.25">
      <c r="A14" t="s">
        <v>13</v>
      </c>
    </row>
    <row r="15" spans="1:9" x14ac:dyDescent="0.25">
      <c r="A15" s="5" t="s">
        <v>1</v>
      </c>
      <c r="B15" s="5" t="s">
        <v>14</v>
      </c>
      <c r="C15" s="5" t="s">
        <v>15</v>
      </c>
      <c r="D15" s="5" t="s">
        <v>16</v>
      </c>
      <c r="F15" s="6" t="s">
        <v>24</v>
      </c>
      <c r="G15" s="2">
        <v>20.21</v>
      </c>
      <c r="H15" s="7" t="s">
        <v>25</v>
      </c>
      <c r="I15" s="3">
        <v>0.16</v>
      </c>
    </row>
    <row r="16" spans="1:9" x14ac:dyDescent="0.25">
      <c r="A16" s="1" t="s">
        <v>17</v>
      </c>
      <c r="B16" s="2">
        <v>10</v>
      </c>
      <c r="C16" s="39"/>
      <c r="D16" s="39"/>
    </row>
    <row r="17" spans="1:9" x14ac:dyDescent="0.25">
      <c r="A17" s="1" t="s">
        <v>18</v>
      </c>
      <c r="B17" s="2">
        <v>5</v>
      </c>
      <c r="C17" s="39"/>
      <c r="D17" s="39"/>
    </row>
    <row r="18" spans="1:9" x14ac:dyDescent="0.25">
      <c r="A18" s="1" t="s">
        <v>19</v>
      </c>
      <c r="B18" s="2">
        <v>9</v>
      </c>
      <c r="C18" s="39"/>
      <c r="D18" s="39"/>
    </row>
    <row r="19" spans="1:9" x14ac:dyDescent="0.25">
      <c r="A19" s="1" t="s">
        <v>20</v>
      </c>
      <c r="B19" s="2">
        <v>8</v>
      </c>
      <c r="C19" s="39"/>
      <c r="D19" s="39"/>
    </row>
    <row r="20" spans="1:9" x14ac:dyDescent="0.25">
      <c r="A20" s="1" t="s">
        <v>21</v>
      </c>
      <c r="B20" s="2">
        <v>12</v>
      </c>
      <c r="C20" s="39"/>
      <c r="D20" s="39"/>
    </row>
    <row r="21" spans="1:9" x14ac:dyDescent="0.25">
      <c r="A21" s="1" t="s">
        <v>22</v>
      </c>
      <c r="B21" s="2">
        <v>10</v>
      </c>
      <c r="C21" s="39"/>
      <c r="D21" s="39"/>
    </row>
    <row r="22" spans="1:9" x14ac:dyDescent="0.25">
      <c r="A22" s="1" t="s">
        <v>23</v>
      </c>
      <c r="B22" s="2">
        <v>15</v>
      </c>
      <c r="C22" s="39"/>
      <c r="D22" s="39"/>
    </row>
    <row r="24" spans="1:9" x14ac:dyDescent="0.25">
      <c r="A24" t="s">
        <v>26</v>
      </c>
    </row>
    <row r="25" spans="1:9" x14ac:dyDescent="0.25">
      <c r="A25" s="5" t="s">
        <v>1</v>
      </c>
      <c r="B25" s="5" t="s">
        <v>14</v>
      </c>
      <c r="C25" s="5" t="s">
        <v>15</v>
      </c>
      <c r="D25" s="5" t="s">
        <v>16</v>
      </c>
      <c r="F25" s="6" t="s">
        <v>24</v>
      </c>
      <c r="G25" s="2">
        <v>20.21</v>
      </c>
      <c r="H25" s="7" t="s">
        <v>25</v>
      </c>
      <c r="I25" s="3">
        <v>0.16</v>
      </c>
    </row>
    <row r="26" spans="1:9" x14ac:dyDescent="0.25">
      <c r="A26" s="1" t="s">
        <v>17</v>
      </c>
      <c r="B26" s="2">
        <v>10</v>
      </c>
      <c r="C26" s="39"/>
      <c r="D26" s="39"/>
    </row>
    <row r="27" spans="1:9" x14ac:dyDescent="0.25">
      <c r="A27" s="1" t="s">
        <v>18</v>
      </c>
      <c r="B27" s="2">
        <v>5</v>
      </c>
      <c r="C27" s="39"/>
      <c r="D27" s="39"/>
    </row>
    <row r="28" spans="1:9" x14ac:dyDescent="0.25">
      <c r="A28" s="1" t="s">
        <v>19</v>
      </c>
      <c r="B28" s="2">
        <v>9</v>
      </c>
      <c r="C28" s="39"/>
      <c r="D28" s="39"/>
    </row>
    <row r="29" spans="1:9" x14ac:dyDescent="0.25">
      <c r="A29" s="1" t="s">
        <v>20</v>
      </c>
      <c r="B29" s="2">
        <v>8</v>
      </c>
      <c r="C29" s="39"/>
      <c r="D29" s="39"/>
    </row>
    <row r="30" spans="1:9" x14ac:dyDescent="0.25">
      <c r="A30" s="1" t="s">
        <v>21</v>
      </c>
      <c r="B30" s="2">
        <v>12</v>
      </c>
      <c r="C30" s="39"/>
      <c r="D30" s="39"/>
    </row>
    <row r="31" spans="1:9" x14ac:dyDescent="0.25">
      <c r="A31" s="1" t="s">
        <v>22</v>
      </c>
      <c r="B31" s="2">
        <v>10</v>
      </c>
      <c r="C31" s="39"/>
      <c r="D31" s="39"/>
    </row>
    <row r="32" spans="1:9" x14ac:dyDescent="0.25">
      <c r="A32" s="1" t="s">
        <v>23</v>
      </c>
      <c r="B32" s="2">
        <v>15</v>
      </c>
      <c r="C32" s="39"/>
      <c r="D32" s="39"/>
    </row>
    <row r="34" spans="1:6" x14ac:dyDescent="0.25">
      <c r="A34" t="s">
        <v>27</v>
      </c>
    </row>
    <row r="35" spans="1:6" x14ac:dyDescent="0.25">
      <c r="A35" s="11" t="s">
        <v>28</v>
      </c>
      <c r="B35" s="12" t="s">
        <v>29</v>
      </c>
      <c r="C35" s="15" t="s">
        <v>34</v>
      </c>
      <c r="D35" s="2"/>
    </row>
    <row r="36" spans="1:6" x14ac:dyDescent="0.25">
      <c r="A36" s="10" t="s">
        <v>30</v>
      </c>
      <c r="B36" s="13">
        <v>50</v>
      </c>
      <c r="C36" s="15" t="s">
        <v>35</v>
      </c>
      <c r="D36" s="2"/>
    </row>
    <row r="37" spans="1:6" x14ac:dyDescent="0.25">
      <c r="A37" s="8" t="s">
        <v>31</v>
      </c>
      <c r="B37" s="14">
        <v>100</v>
      </c>
      <c r="C37" s="15" t="s">
        <v>36</v>
      </c>
      <c r="D37" s="2"/>
    </row>
    <row r="38" spans="1:6" x14ac:dyDescent="0.25">
      <c r="A38" s="8" t="s">
        <v>11</v>
      </c>
      <c r="B38" s="14">
        <v>40</v>
      </c>
      <c r="C38" s="15" t="s">
        <v>37</v>
      </c>
      <c r="D38" s="2"/>
    </row>
    <row r="39" spans="1:6" x14ac:dyDescent="0.25">
      <c r="A39" s="8" t="s">
        <v>32</v>
      </c>
      <c r="B39" s="9">
        <v>50</v>
      </c>
    </row>
    <row r="40" spans="1:6" x14ac:dyDescent="0.25">
      <c r="A40" s="8" t="s">
        <v>33</v>
      </c>
      <c r="B40" s="9">
        <v>20</v>
      </c>
      <c r="E40" t="s">
        <v>64</v>
      </c>
      <c r="F40" s="40">
        <v>100</v>
      </c>
    </row>
    <row r="41" spans="1:6" x14ac:dyDescent="0.25">
      <c r="E41" t="s">
        <v>65</v>
      </c>
      <c r="F41" s="40">
        <v>10</v>
      </c>
    </row>
    <row r="42" spans="1:6" x14ac:dyDescent="0.25">
      <c r="A42" t="s">
        <v>67</v>
      </c>
    </row>
    <row r="43" spans="1:6" x14ac:dyDescent="0.25">
      <c r="A43" s="16" t="s">
        <v>38</v>
      </c>
      <c r="B43" s="1" t="s">
        <v>1</v>
      </c>
      <c r="C43" s="1" t="s">
        <v>45</v>
      </c>
      <c r="D43" s="1" t="s">
        <v>46</v>
      </c>
      <c r="E43" s="1" t="s">
        <v>47</v>
      </c>
    </row>
    <row r="44" spans="1:6" x14ac:dyDescent="0.25">
      <c r="A44" s="1"/>
      <c r="B44" s="1" t="s">
        <v>39</v>
      </c>
      <c r="C44" s="2"/>
      <c r="D44" s="3">
        <v>0.15</v>
      </c>
      <c r="E44" s="36"/>
    </row>
    <row r="45" spans="1:6" x14ac:dyDescent="0.25">
      <c r="A45" s="1"/>
      <c r="B45" s="1" t="s">
        <v>40</v>
      </c>
      <c r="C45" s="2"/>
      <c r="D45" s="3">
        <v>0.05</v>
      </c>
      <c r="E45" s="36"/>
    </row>
    <row r="46" spans="1:6" x14ac:dyDescent="0.25">
      <c r="A46" s="1"/>
      <c r="B46" s="1" t="s">
        <v>41</v>
      </c>
      <c r="C46" s="2"/>
      <c r="D46" s="3">
        <v>0.05</v>
      </c>
      <c r="E46" s="36"/>
    </row>
    <row r="47" spans="1:6" x14ac:dyDescent="0.25">
      <c r="A47" s="1"/>
      <c r="B47" s="1" t="s">
        <v>42</v>
      </c>
      <c r="C47" s="2"/>
      <c r="D47" s="3">
        <v>0.1</v>
      </c>
      <c r="E47" s="36"/>
    </row>
    <row r="48" spans="1:6" x14ac:dyDescent="0.25">
      <c r="A48" s="1"/>
      <c r="B48" s="1" t="s">
        <v>43</v>
      </c>
      <c r="C48" s="2"/>
      <c r="D48" s="3">
        <v>0.05</v>
      </c>
      <c r="E48" s="36"/>
    </row>
    <row r="49" spans="1:9" x14ac:dyDescent="0.25">
      <c r="A49" s="1"/>
      <c r="B49" s="1" t="s">
        <v>44</v>
      </c>
      <c r="C49" s="2"/>
      <c r="D49" s="3">
        <v>0.05</v>
      </c>
      <c r="E49" s="36"/>
    </row>
    <row r="51" spans="1:9" x14ac:dyDescent="0.25">
      <c r="A51" t="s">
        <v>48</v>
      </c>
    </row>
    <row r="52" spans="1:9" x14ac:dyDescent="0.25">
      <c r="A52" s="38" t="s">
        <v>61</v>
      </c>
      <c r="B52" s="38"/>
      <c r="C52" s="38"/>
      <c r="D52" s="38"/>
      <c r="E52" s="38"/>
      <c r="F52" s="38"/>
      <c r="G52" s="38"/>
      <c r="H52" s="38"/>
      <c r="I52" s="38"/>
    </row>
    <row r="53" spans="1:9" x14ac:dyDescent="0.25">
      <c r="A53" s="38"/>
      <c r="B53" s="38"/>
      <c r="C53" s="38"/>
      <c r="D53" s="38"/>
      <c r="E53" s="38"/>
      <c r="F53" s="38"/>
      <c r="G53" s="38"/>
      <c r="H53" s="38"/>
      <c r="I53" s="38"/>
    </row>
    <row r="56" spans="1:9" x14ac:dyDescent="0.25">
      <c r="A56" s="17" t="s">
        <v>49</v>
      </c>
      <c r="B56" s="18">
        <f ca="1">TODAY()</f>
        <v>44483</v>
      </c>
      <c r="C56" s="19"/>
      <c r="D56" s="20"/>
      <c r="E56" s="21"/>
      <c r="F56" s="21"/>
      <c r="G56" s="22"/>
    </row>
    <row r="57" spans="1:9" x14ac:dyDescent="0.25">
      <c r="A57" s="23"/>
      <c r="B57" s="23"/>
      <c r="C57" s="19"/>
      <c r="D57" s="20"/>
      <c r="E57" s="21"/>
      <c r="F57" s="21"/>
      <c r="G57" s="22"/>
    </row>
    <row r="58" spans="1:9" x14ac:dyDescent="0.25">
      <c r="A58" s="24" t="s">
        <v>50</v>
      </c>
      <c r="B58" s="25" t="s">
        <v>51</v>
      </c>
      <c r="C58" s="26" t="s">
        <v>52</v>
      </c>
      <c r="D58" s="27" t="s">
        <v>53</v>
      </c>
      <c r="E58" s="28" t="s">
        <v>54</v>
      </c>
      <c r="F58" s="26" t="s">
        <v>55</v>
      </c>
    </row>
    <row r="59" spans="1:9" x14ac:dyDescent="0.25">
      <c r="A59" s="29">
        <v>10024</v>
      </c>
      <c r="B59" s="30">
        <f ca="1">C59-12</f>
        <v>44470</v>
      </c>
      <c r="C59" s="31">
        <f ca="1">TODAY()+RANDBETWEEN(-10,10)</f>
        <v>44482</v>
      </c>
      <c r="D59" s="32">
        <f ca="1">RANDBETWEEN(100,30000)</f>
        <v>6781</v>
      </c>
      <c r="E59" s="33" t="s">
        <v>56</v>
      </c>
      <c r="F59" s="34"/>
    </row>
    <row r="60" spans="1:9" x14ac:dyDescent="0.25">
      <c r="A60" s="29">
        <v>10014</v>
      </c>
      <c r="B60" s="30">
        <f t="shared" ref="B60:B85" ca="1" si="0">C60-12</f>
        <v>44474</v>
      </c>
      <c r="C60" s="31">
        <f t="shared" ref="C60:C85" ca="1" si="1">TODAY()+RANDBETWEEN(-10,10)</f>
        <v>44486</v>
      </c>
      <c r="D60" s="32">
        <f t="shared" ref="D60:D85" ca="1" si="2">RANDBETWEEN(100,30000)</f>
        <v>7595</v>
      </c>
      <c r="E60" s="33" t="s">
        <v>57</v>
      </c>
      <c r="F60" s="34"/>
    </row>
    <row r="61" spans="1:9" x14ac:dyDescent="0.25">
      <c r="A61" s="29">
        <v>10034</v>
      </c>
      <c r="B61" s="30">
        <f t="shared" ca="1" si="0"/>
        <v>44480</v>
      </c>
      <c r="C61" s="31">
        <f t="shared" ca="1" si="1"/>
        <v>44492</v>
      </c>
      <c r="D61" s="32">
        <f t="shared" ca="1" si="2"/>
        <v>2466</v>
      </c>
      <c r="E61" s="33" t="s">
        <v>56</v>
      </c>
      <c r="F61" s="34"/>
    </row>
    <row r="62" spans="1:9" x14ac:dyDescent="0.25">
      <c r="A62" s="29">
        <v>10029</v>
      </c>
      <c r="B62" s="30">
        <f t="shared" ca="1" si="0"/>
        <v>44475</v>
      </c>
      <c r="C62" s="31">
        <f t="shared" ca="1" si="1"/>
        <v>44487</v>
      </c>
      <c r="D62" s="32">
        <f t="shared" ca="1" si="2"/>
        <v>29662</v>
      </c>
      <c r="E62" s="33" t="s">
        <v>58</v>
      </c>
      <c r="F62" s="34"/>
    </row>
    <row r="63" spans="1:9" x14ac:dyDescent="0.25">
      <c r="A63" s="29">
        <v>10030</v>
      </c>
      <c r="B63" s="30">
        <f t="shared" ca="1" si="0"/>
        <v>44470</v>
      </c>
      <c r="C63" s="31">
        <f t="shared" ca="1" si="1"/>
        <v>44482</v>
      </c>
      <c r="D63" s="32">
        <f t="shared" ca="1" si="2"/>
        <v>14660</v>
      </c>
      <c r="E63" s="33" t="s">
        <v>58</v>
      </c>
      <c r="F63" s="34"/>
    </row>
    <row r="64" spans="1:9" x14ac:dyDescent="0.25">
      <c r="A64" s="29">
        <v>10018</v>
      </c>
      <c r="B64" s="30">
        <f t="shared" ca="1" si="0"/>
        <v>44467</v>
      </c>
      <c r="C64" s="31">
        <f t="shared" ca="1" si="1"/>
        <v>44479</v>
      </c>
      <c r="D64" s="32">
        <f t="shared" ca="1" si="2"/>
        <v>10916</v>
      </c>
      <c r="E64" s="33" t="s">
        <v>58</v>
      </c>
      <c r="F64" s="34"/>
    </row>
    <row r="65" spans="1:6" x14ac:dyDescent="0.25">
      <c r="A65" s="29">
        <v>10035</v>
      </c>
      <c r="B65" s="30">
        <f t="shared" ca="1" si="0"/>
        <v>44478</v>
      </c>
      <c r="C65" s="31">
        <f t="shared" ca="1" si="1"/>
        <v>44490</v>
      </c>
      <c r="D65" s="32">
        <f t="shared" ca="1" si="2"/>
        <v>28192</v>
      </c>
      <c r="E65" s="33" t="s">
        <v>59</v>
      </c>
      <c r="F65" s="34"/>
    </row>
    <row r="66" spans="1:6" x14ac:dyDescent="0.25">
      <c r="A66" s="29">
        <v>10010</v>
      </c>
      <c r="B66" s="30">
        <f t="shared" ca="1" si="0"/>
        <v>44477</v>
      </c>
      <c r="C66" s="31">
        <f t="shared" ca="1" si="1"/>
        <v>44489</v>
      </c>
      <c r="D66" s="32">
        <f t="shared" ca="1" si="2"/>
        <v>23076</v>
      </c>
      <c r="E66" s="33" t="s">
        <v>56</v>
      </c>
      <c r="F66" s="34"/>
    </row>
    <row r="67" spans="1:6" x14ac:dyDescent="0.25">
      <c r="A67" s="29">
        <v>10030</v>
      </c>
      <c r="B67" s="30">
        <f t="shared" ca="1" si="0"/>
        <v>44464</v>
      </c>
      <c r="C67" s="31">
        <f t="shared" ca="1" si="1"/>
        <v>44476</v>
      </c>
      <c r="D67" s="32">
        <f t="shared" ca="1" si="2"/>
        <v>17260</v>
      </c>
      <c r="E67" s="33" t="s">
        <v>57</v>
      </c>
      <c r="F67" s="34"/>
    </row>
    <row r="68" spans="1:6" x14ac:dyDescent="0.25">
      <c r="A68" s="29">
        <v>10012</v>
      </c>
      <c r="B68" s="30">
        <f t="shared" ca="1" si="0"/>
        <v>44474</v>
      </c>
      <c r="C68" s="31">
        <f t="shared" ca="1" si="1"/>
        <v>44486</v>
      </c>
      <c r="D68" s="32">
        <f t="shared" ca="1" si="2"/>
        <v>7885</v>
      </c>
      <c r="E68" s="33" t="s">
        <v>60</v>
      </c>
      <c r="F68" s="34"/>
    </row>
    <row r="69" spans="1:6" x14ac:dyDescent="0.25">
      <c r="A69" s="29">
        <v>10024</v>
      </c>
      <c r="B69" s="30">
        <f t="shared" ca="1" si="0"/>
        <v>44481</v>
      </c>
      <c r="C69" s="31">
        <f t="shared" ca="1" si="1"/>
        <v>44493</v>
      </c>
      <c r="D69" s="32">
        <f t="shared" ca="1" si="2"/>
        <v>17364</v>
      </c>
      <c r="E69" s="33" t="s">
        <v>57</v>
      </c>
      <c r="F69" s="34"/>
    </row>
    <row r="70" spans="1:6" x14ac:dyDescent="0.25">
      <c r="A70" s="29">
        <v>10014</v>
      </c>
      <c r="B70" s="30">
        <f t="shared" ca="1" si="0"/>
        <v>44468</v>
      </c>
      <c r="C70" s="31">
        <f t="shared" ca="1" si="1"/>
        <v>44480</v>
      </c>
      <c r="D70" s="32">
        <f t="shared" ca="1" si="2"/>
        <v>7218</v>
      </c>
      <c r="E70" s="33" t="s">
        <v>57</v>
      </c>
      <c r="F70" s="34"/>
    </row>
    <row r="71" spans="1:6" x14ac:dyDescent="0.25">
      <c r="A71" s="29">
        <v>10021</v>
      </c>
      <c r="B71" s="30">
        <f t="shared" ca="1" si="0"/>
        <v>44461</v>
      </c>
      <c r="C71" s="31">
        <f t="shared" ca="1" si="1"/>
        <v>44473</v>
      </c>
      <c r="D71" s="32">
        <f t="shared" ca="1" si="2"/>
        <v>28658</v>
      </c>
      <c r="E71" s="33" t="s">
        <v>57</v>
      </c>
      <c r="F71" s="34"/>
    </row>
    <row r="72" spans="1:6" x14ac:dyDescent="0.25">
      <c r="A72" s="29">
        <v>10022</v>
      </c>
      <c r="B72" s="30">
        <f t="shared" ca="1" si="0"/>
        <v>44465</v>
      </c>
      <c r="C72" s="31">
        <f t="shared" ca="1" si="1"/>
        <v>44477</v>
      </c>
      <c r="D72" s="32">
        <f t="shared" ca="1" si="2"/>
        <v>18458</v>
      </c>
      <c r="E72" s="33" t="s">
        <v>57</v>
      </c>
      <c r="F72" s="34"/>
    </row>
    <row r="73" spans="1:6" x14ac:dyDescent="0.25">
      <c r="A73" s="29">
        <v>10026</v>
      </c>
      <c r="B73" s="30">
        <f t="shared" ca="1" si="0"/>
        <v>44462</v>
      </c>
      <c r="C73" s="31">
        <f t="shared" ca="1" si="1"/>
        <v>44474</v>
      </c>
      <c r="D73" s="32">
        <f t="shared" ca="1" si="2"/>
        <v>219</v>
      </c>
      <c r="E73" s="33" t="s">
        <v>60</v>
      </c>
      <c r="F73" s="34"/>
    </row>
    <row r="74" spans="1:6" x14ac:dyDescent="0.25">
      <c r="A74" s="29">
        <v>10033</v>
      </c>
      <c r="B74" s="30">
        <f t="shared" ca="1" si="0"/>
        <v>44476</v>
      </c>
      <c r="C74" s="31">
        <f t="shared" ca="1" si="1"/>
        <v>44488</v>
      </c>
      <c r="D74" s="32">
        <f t="shared" ca="1" si="2"/>
        <v>26332</v>
      </c>
      <c r="E74" s="33" t="s">
        <v>60</v>
      </c>
      <c r="F74" s="34"/>
    </row>
    <row r="75" spans="1:6" x14ac:dyDescent="0.25">
      <c r="A75" s="29">
        <v>10029</v>
      </c>
      <c r="B75" s="30">
        <f t="shared" ca="1" si="0"/>
        <v>44481</v>
      </c>
      <c r="C75" s="31">
        <f t="shared" ca="1" si="1"/>
        <v>44493</v>
      </c>
      <c r="D75" s="32">
        <f t="shared" ca="1" si="2"/>
        <v>17915</v>
      </c>
      <c r="E75" s="33" t="s">
        <v>60</v>
      </c>
      <c r="F75" s="34"/>
    </row>
    <row r="76" spans="1:6" x14ac:dyDescent="0.25">
      <c r="A76" s="29">
        <v>10015</v>
      </c>
      <c r="B76" s="30">
        <f t="shared" ca="1" si="0"/>
        <v>44475</v>
      </c>
      <c r="C76" s="31">
        <f t="shared" ca="1" si="1"/>
        <v>44487</v>
      </c>
      <c r="D76" s="32">
        <f t="shared" ca="1" si="2"/>
        <v>29511</v>
      </c>
      <c r="E76" s="33" t="s">
        <v>60</v>
      </c>
      <c r="F76" s="34"/>
    </row>
    <row r="77" spans="1:6" x14ac:dyDescent="0.25">
      <c r="A77" s="29">
        <v>10036</v>
      </c>
      <c r="B77" s="30">
        <f t="shared" ca="1" si="0"/>
        <v>44477</v>
      </c>
      <c r="C77" s="31">
        <f t="shared" ca="1" si="1"/>
        <v>44489</v>
      </c>
      <c r="D77" s="32">
        <f t="shared" ca="1" si="2"/>
        <v>21978</v>
      </c>
      <c r="E77" s="33" t="s">
        <v>60</v>
      </c>
      <c r="F77" s="34"/>
    </row>
    <row r="78" spans="1:6" x14ac:dyDescent="0.25">
      <c r="A78" s="29">
        <v>10032</v>
      </c>
      <c r="B78" s="30">
        <f t="shared" ca="1" si="0"/>
        <v>44466</v>
      </c>
      <c r="C78" s="31">
        <f t="shared" ca="1" si="1"/>
        <v>44478</v>
      </c>
      <c r="D78" s="32">
        <f t="shared" ca="1" si="2"/>
        <v>14941</v>
      </c>
      <c r="E78" s="33" t="s">
        <v>56</v>
      </c>
      <c r="F78" s="34"/>
    </row>
    <row r="79" spans="1:6" x14ac:dyDescent="0.25">
      <c r="A79" s="29">
        <v>10017</v>
      </c>
      <c r="B79" s="30">
        <f t="shared" ca="1" si="0"/>
        <v>44476</v>
      </c>
      <c r="C79" s="31">
        <f t="shared" ca="1" si="1"/>
        <v>44488</v>
      </c>
      <c r="D79" s="32">
        <f t="shared" ca="1" si="2"/>
        <v>6606</v>
      </c>
      <c r="E79" s="33" t="s">
        <v>56</v>
      </c>
      <c r="F79" s="34"/>
    </row>
    <row r="80" spans="1:6" x14ac:dyDescent="0.25">
      <c r="A80" s="29">
        <v>10026</v>
      </c>
      <c r="B80" s="30">
        <f t="shared" ca="1" si="0"/>
        <v>44470</v>
      </c>
      <c r="C80" s="31">
        <f t="shared" ca="1" si="1"/>
        <v>44482</v>
      </c>
      <c r="D80" s="32">
        <f t="shared" ca="1" si="2"/>
        <v>6355</v>
      </c>
      <c r="E80" s="33" t="s">
        <v>58</v>
      </c>
      <c r="F80" s="34"/>
    </row>
    <row r="81" spans="1:9" x14ac:dyDescent="0.25">
      <c r="A81" s="29">
        <v>10033</v>
      </c>
      <c r="B81" s="30">
        <f t="shared" ca="1" si="0"/>
        <v>44479</v>
      </c>
      <c r="C81" s="31">
        <f t="shared" ca="1" si="1"/>
        <v>44491</v>
      </c>
      <c r="D81" s="32">
        <f t="shared" ca="1" si="2"/>
        <v>20477</v>
      </c>
      <c r="E81" s="33" t="s">
        <v>60</v>
      </c>
      <c r="F81" s="34"/>
    </row>
    <row r="82" spans="1:9" x14ac:dyDescent="0.25">
      <c r="A82" s="29">
        <v>10029</v>
      </c>
      <c r="B82" s="30">
        <f t="shared" ca="1" si="0"/>
        <v>44464</v>
      </c>
      <c r="C82" s="31">
        <f t="shared" ca="1" si="1"/>
        <v>44476</v>
      </c>
      <c r="D82" s="32">
        <f t="shared" ca="1" si="2"/>
        <v>18728</v>
      </c>
      <c r="E82" s="33" t="s">
        <v>57</v>
      </c>
      <c r="F82" s="34"/>
    </row>
    <row r="83" spans="1:9" x14ac:dyDescent="0.25">
      <c r="A83" s="29">
        <v>10023</v>
      </c>
      <c r="B83" s="30">
        <f t="shared" ca="1" si="0"/>
        <v>44467</v>
      </c>
      <c r="C83" s="31">
        <f t="shared" ca="1" si="1"/>
        <v>44479</v>
      </c>
      <c r="D83" s="32">
        <f t="shared" ca="1" si="2"/>
        <v>17297</v>
      </c>
      <c r="E83" s="33" t="s">
        <v>56</v>
      </c>
      <c r="F83" s="34"/>
    </row>
    <row r="84" spans="1:9" x14ac:dyDescent="0.25">
      <c r="A84" s="29">
        <v>10016</v>
      </c>
      <c r="B84" s="30">
        <f t="shared" ca="1" si="0"/>
        <v>44468</v>
      </c>
      <c r="C84" s="31">
        <f t="shared" ca="1" si="1"/>
        <v>44480</v>
      </c>
      <c r="D84" s="32">
        <f t="shared" ca="1" si="2"/>
        <v>21464</v>
      </c>
      <c r="E84" s="33" t="s">
        <v>59</v>
      </c>
      <c r="F84" s="34"/>
    </row>
    <row r="85" spans="1:9" x14ac:dyDescent="0.25">
      <c r="A85" s="29">
        <v>10028</v>
      </c>
      <c r="B85" s="30">
        <f t="shared" ca="1" si="0"/>
        <v>44474</v>
      </c>
      <c r="C85" s="31">
        <f t="shared" ca="1" si="1"/>
        <v>44486</v>
      </c>
      <c r="D85" s="32">
        <f t="shared" ca="1" si="2"/>
        <v>29431</v>
      </c>
      <c r="E85" s="33" t="s">
        <v>59</v>
      </c>
      <c r="F85" s="34"/>
    </row>
    <row r="87" spans="1:9" x14ac:dyDescent="0.25">
      <c r="A87" t="s">
        <v>62</v>
      </c>
    </row>
    <row r="88" spans="1:9" x14ac:dyDescent="0.25">
      <c r="A88" s="38" t="s">
        <v>66</v>
      </c>
      <c r="B88" s="38"/>
      <c r="C88" s="38"/>
      <c r="D88" s="38"/>
      <c r="E88" s="38"/>
      <c r="F88" s="38"/>
      <c r="G88" s="38"/>
      <c r="H88" s="38"/>
      <c r="I88" s="38"/>
    </row>
    <row r="89" spans="1:9" ht="32.25" customHeight="1" x14ac:dyDescent="0.25">
      <c r="A89" s="38"/>
      <c r="B89" s="38"/>
      <c r="C89" s="38"/>
      <c r="D89" s="38"/>
      <c r="E89" s="38"/>
      <c r="F89" s="38"/>
      <c r="G89" s="38"/>
      <c r="H89" s="38"/>
      <c r="I89" s="38"/>
    </row>
    <row r="91" spans="1:9" x14ac:dyDescent="0.25">
      <c r="A91" s="5" t="s">
        <v>1</v>
      </c>
      <c r="B91" s="5" t="s">
        <v>63</v>
      </c>
      <c r="C91" s="5" t="s">
        <v>4</v>
      </c>
      <c r="D91" s="5" t="s">
        <v>47</v>
      </c>
    </row>
    <row r="92" spans="1:9" x14ac:dyDescent="0.25">
      <c r="A92" s="1" t="s">
        <v>17</v>
      </c>
      <c r="B92" s="2">
        <v>600</v>
      </c>
      <c r="C92" s="41"/>
      <c r="D92" s="39"/>
    </row>
    <row r="93" spans="1:9" x14ac:dyDescent="0.25">
      <c r="A93" s="1" t="s">
        <v>18</v>
      </c>
      <c r="B93" s="2">
        <v>1000</v>
      </c>
      <c r="C93" s="41"/>
      <c r="D93" s="39"/>
    </row>
    <row r="94" spans="1:9" x14ac:dyDescent="0.25">
      <c r="A94" s="1" t="s">
        <v>19</v>
      </c>
      <c r="B94" s="2">
        <v>1500</v>
      </c>
      <c r="C94" s="41"/>
      <c r="D94" s="39"/>
    </row>
    <row r="95" spans="1:9" x14ac:dyDescent="0.25">
      <c r="A95" s="1" t="s">
        <v>20</v>
      </c>
      <c r="B95" s="2">
        <v>1800</v>
      </c>
      <c r="C95" s="41"/>
      <c r="D95" s="39"/>
    </row>
    <row r="96" spans="1:9" x14ac:dyDescent="0.25">
      <c r="A96" s="1" t="s">
        <v>21</v>
      </c>
      <c r="B96" s="2">
        <v>2500</v>
      </c>
      <c r="C96" s="41"/>
      <c r="D96" s="39"/>
    </row>
    <row r="97" spans="1:4" x14ac:dyDescent="0.25">
      <c r="A97" s="1" t="s">
        <v>22</v>
      </c>
      <c r="B97" s="2">
        <v>5000</v>
      </c>
      <c r="C97" s="41"/>
      <c r="D97" s="39"/>
    </row>
  </sheetData>
  <mergeCells count="3">
    <mergeCell ref="A1:F3"/>
    <mergeCell ref="A52:I53"/>
    <mergeCell ref="A88:I89"/>
  </mergeCells>
  <conditionalFormatting sqref="F59:F85">
    <cfRule type="cellIs" dxfId="0" priority="10" operator="equal">
      <formula>"NO VENCIDA"</formula>
    </cfRule>
  </conditionalFormatting>
  <conditionalFormatting sqref="F6">
    <cfRule type="iconSet" priority="7">
      <iconSet iconSet="3Symbols2" showValue="0">
        <cfvo type="percent" val="0"/>
        <cfvo type="percent" val="33"/>
        <cfvo type="percent" val="67"/>
      </iconSet>
    </cfRule>
  </conditionalFormatting>
  <conditionalFormatting sqref="E15">
    <cfRule type="iconSet" priority="6">
      <iconSet iconSet="3Symbols2" showValue="0">
        <cfvo type="percent" val="0"/>
        <cfvo type="percent" val="33"/>
        <cfvo type="percent" val="67"/>
      </iconSet>
    </cfRule>
  </conditionalFormatting>
  <conditionalFormatting sqref="E25">
    <cfRule type="iconSet" priority="5">
      <iconSet iconSet="3Symbols2" showValue="0">
        <cfvo type="percent" val="0"/>
        <cfvo type="percent" val="33"/>
        <cfvo type="percent" val="67"/>
      </iconSet>
    </cfRule>
  </conditionalFormatting>
  <conditionalFormatting sqref="E35">
    <cfRule type="iconSet" priority="4">
      <iconSet iconSet="3Symbols2" showValue="0">
        <cfvo type="percent" val="0"/>
        <cfvo type="percent" val="33"/>
        <cfvo type="percent" val="67"/>
      </iconSet>
    </cfRule>
  </conditionalFormatting>
  <conditionalFormatting sqref="F43">
    <cfRule type="iconSet" priority="3">
      <iconSet iconSet="3Symbols2" showValue="0">
        <cfvo type="percent" val="0"/>
        <cfvo type="percent" val="33"/>
        <cfvo type="percent" val="67"/>
      </iconSet>
    </cfRule>
  </conditionalFormatting>
  <conditionalFormatting sqref="G59">
    <cfRule type="iconSet" priority="2">
      <iconSet iconSet="3Symbols2" showValue="0">
        <cfvo type="percent" val="0"/>
        <cfvo type="percent" val="33"/>
        <cfvo type="percent" val="67"/>
      </iconSet>
    </cfRule>
  </conditionalFormatting>
  <conditionalFormatting sqref="E91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BD29A68B-7B27-4BC2-91AB-EF53ACF14A9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F58:F85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Hoja2!$A:$A</xm:f>
          </x14:formula1>
          <xm:sqref>D44:D49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RowHeight="15" x14ac:dyDescent="0.25"/>
  <cols>
    <col min="1" max="1" width="11.42578125" style="35"/>
  </cols>
  <sheetData>
    <row r="1" spans="1:1" x14ac:dyDescent="0.25">
      <c r="A1" s="35">
        <v>0.05</v>
      </c>
    </row>
    <row r="2" spans="1:1" x14ac:dyDescent="0.25">
      <c r="A2" s="35">
        <v>0.1</v>
      </c>
    </row>
    <row r="3" spans="1:1" x14ac:dyDescent="0.25">
      <c r="A3" s="3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BUSTAMANTE</cp:lastModifiedBy>
  <dcterms:created xsi:type="dcterms:W3CDTF">2021-06-12T06:15:05Z</dcterms:created>
  <dcterms:modified xsi:type="dcterms:W3CDTF">2021-10-15T00:20:38Z</dcterms:modified>
</cp:coreProperties>
</file>