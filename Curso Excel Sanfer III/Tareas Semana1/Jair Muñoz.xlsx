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ir.munoz\Desktop\2021\Difusiones y capacitaciones 2021\OCTUBRE\CURSO EXCEL\Tareas\Bloque 1\"/>
    </mc:Choice>
  </mc:AlternateContent>
  <bookViews>
    <workbookView xWindow="-120" yWindow="-120" windowWidth="20730" windowHeight="11160"/>
  </bookViews>
  <sheets>
    <sheet name="Ejercicios" sheetId="2" r:id="rId1"/>
    <sheet name="Hoja1" sheetId="4" r:id="rId2"/>
    <sheet name="Hoja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2" i="2" l="1"/>
  <c r="I142" i="2" l="1"/>
  <c r="A142" i="2"/>
  <c r="F142" i="2"/>
  <c r="L142" i="2"/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<sst xmlns="http://schemas.openxmlformats.org/spreadsheetml/2006/main" count="706" uniqueCount="245">
  <si>
    <t>CURSO MS EXCEL NIVEL INTERMEDIO SEMANA 1 BLOQUE 1 INTRODUCCION A LOS DATOS</t>
  </si>
  <si>
    <t>EJERCICIO 1 - SOLO PERMITIR NÚMEROS NEGATIVOS CON 2 DECIMALES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</si>
  <si>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</si>
  <si>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</si>
  <si>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</si>
  <si>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</si>
  <si>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</si>
  <si>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</si>
  <si>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</si>
  <si>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</si>
  <si>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</si>
  <si>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</si>
  <si>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</si>
  <si>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</si>
  <si>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</si>
  <si>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</si>
  <si>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</si>
  <si>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</si>
  <si>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</si>
  <si>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</si>
  <si>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</si>
  <si>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</si>
  <si>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</si>
  <si>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</si>
  <si>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</si>
  <si>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</si>
  <si>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</si>
  <si>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</si>
  <si>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</si>
  <si>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</si>
  <si>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</si>
  <si>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</si>
  <si>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</si>
  <si>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</si>
  <si>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</si>
  <si>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</si>
  <si>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</si>
  <si>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</si>
  <si>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</si>
  <si>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</si>
  <si>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</si>
  <si>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</si>
  <si>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</si>
  <si>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</si>
  <si>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</si>
  <si>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</si>
  <si>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</si>
  <si>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</si>
  <si>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</si>
  <si>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</si>
  <si>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</si>
  <si>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</si>
  <si>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</si>
  <si>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</si>
  <si>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</si>
  <si>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</si>
  <si>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</si>
  <si>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</si>
  <si>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</si>
  <si>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</si>
  <si>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</si>
  <si>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</si>
  <si>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</si>
  <si>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</si>
  <si>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</si>
  <si>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</si>
  <si>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</si>
  <si>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</si>
  <si>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</si>
  <si>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</si>
  <si>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</si>
  <si>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</si>
  <si>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</si>
  <si>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</si>
  <si>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</si>
  <si>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</si>
  <si>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</si>
  <si>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</si>
  <si>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</si>
  <si>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</si>
  <si>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</si>
  <si>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</si>
  <si>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</si>
  <si>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</si>
  <si>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</si>
  <si>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</si>
  <si>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</si>
  <si>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</si>
  <si>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</si>
  <si>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</si>
  <si>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</si>
  <si>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</si>
  <si>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</si>
  <si>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</si>
  <si>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</si>
  <si>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</si>
  <si>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</si>
  <si>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</si>
  <si>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</si>
  <si>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</si>
  <si>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</si>
  <si>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</si>
  <si>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</si>
  <si>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</si>
  <si>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</si>
  <si>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</si>
  <si>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</si>
  <si>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</si>
  <si>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</si>
  <si>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</si>
  <si>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</si>
  <si>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</si>
  <si>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</si>
  <si>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</si>
  <si>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</si>
  <si>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</si>
  <si>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</si>
  <si>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</si>
  <si>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</si>
  <si>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</si>
  <si>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</si>
  <si>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</si>
  <si>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</si>
  <si>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</si>
  <si>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</si>
  <si>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</si>
  <si>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</si>
  <si>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</si>
  <si>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</si>
  <si>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</si>
  <si>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</si>
  <si>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</si>
  <si>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</si>
  <si>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</si>
  <si>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</si>
  <si>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</si>
  <si>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</si>
  <si>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</si>
  <si>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</si>
  <si>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</si>
  <si>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</si>
  <si>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</si>
  <si>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</si>
  <si>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</si>
  <si>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</si>
  <si>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</si>
  <si>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</si>
  <si>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</si>
  <si>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</si>
  <si>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</si>
  <si>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</si>
  <si>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</si>
  <si>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</si>
  <si>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</si>
  <si>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</si>
  <si>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</si>
  <si>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</si>
  <si>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</si>
  <si>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</si>
  <si>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</si>
  <si>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</si>
  <si>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</si>
  <si>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</si>
  <si>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</si>
  <si>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</si>
  <si>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</si>
  <si>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</si>
  <si>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</si>
  <si>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</si>
  <si>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</si>
  <si>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</si>
  <si>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</si>
  <si>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</si>
  <si>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</si>
  <si>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</si>
  <si>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</si>
  <si>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</si>
  <si>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</si>
  <si>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</si>
  <si>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</si>
  <si>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</si>
  <si>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</si>
  <si>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</si>
  <si>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</si>
  <si>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</si>
  <si>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</si>
  <si>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</si>
  <si>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</si>
  <si>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</si>
  <si>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</si>
  <si>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</si>
  <si>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</si>
  <si>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</si>
  <si>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</si>
  <si>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</si>
  <si>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</si>
  <si>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</si>
  <si>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</si>
  <si>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</si>
  <si>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</si>
  <si>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</si>
  <si>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</si>
  <si>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</si>
  <si>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</si>
  <si>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</si>
  <si>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</si>
  <si>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</si>
  <si>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</si>
  <si>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</si>
  <si>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</si>
  <si>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</si>
  <si>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</si>
  <si>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</si>
  <si>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</si>
  <si>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</si>
  <si>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</si>
  <si>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</si>
  <si>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</si>
  <si>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</si>
  <si>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</si>
  <si>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</si>
  <si>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</si>
  <si>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</si>
  <si>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</si>
  <si>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</si>
  <si>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</si>
  <si>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</si>
  <si>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</si>
  <si>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</si>
  <si>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</si>
  <si>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</si>
  <si>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</si>
  <si>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</si>
  <si>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</si>
  <si>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</si>
  <si>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1,2,3 en modo texto</t>
  </si>
  <si>
    <t>Nutek 2021</t>
  </si>
  <si>
    <t>2021 Resultados</t>
  </si>
  <si>
    <t>EJERCICIO 2 - PERMITIR SOLO NÚMEROS ENTEROS MAYORES A 100</t>
  </si>
  <si>
    <t>MUFJ850103HPLXLR05</t>
  </si>
  <si>
    <t>México</t>
  </si>
  <si>
    <t>USA</t>
  </si>
  <si>
    <t>Alemania</t>
  </si>
  <si>
    <t>Brazil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</si>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</sst>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4" formatCode="[$-F800]dddd\,\ mmmm\ dd\,\ yyyy"/>
    <numFmt numFmtId="165" formatCode="000\-&quot;Sanfer&quot;\-00"/>
    <numFmt numFmtId="166" formatCode="[$USD]\ #,##0.00"/>
    <numFmt numFmtId="167" formatCode="0.0"/>
    <numFmt numFmtId="168" formatCode="0000\-0000\-0000\-0000"/>
    <numFmt numFmtId="169" formatCode="_-[$EUR]\ * #,##0_-;\-[$EUR]\ * #,##0_-;_-[$EUR]\ * &quot;-&quot;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2" fontId="0" fillId="0" borderId="0" xfId="0" applyNumberFormat="1"/>
    <xf numFmtId="0" fontId="8" fillId="4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9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8" fillId="0" borderId="1" xfId="0" applyFont="1" applyBorder="1"/>
    <xf numFmtId="1" fontId="0" fillId="0" borderId="1" xfId="0" applyNumberFormat="1" applyBorder="1"/>
    <xf numFmtId="49" fontId="0" fillId="0" borderId="1" xfId="0" applyNumberFormat="1" applyBorder="1"/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9" fontId="0" fillId="0" borderId="1" xfId="1" applyFont="1" applyBorder="1"/>
    <xf numFmtId="2" fontId="0" fillId="0" borderId="1" xfId="0" applyNumberFormat="1" applyBorder="1"/>
    <xf numFmtId="164" fontId="0" fillId="0" borderId="1" xfId="0" applyNumberFormat="1" applyBorder="1"/>
    <xf numFmtId="12" fontId="0" fillId="0" borderId="1" xfId="0" applyNumberFormat="1" applyBorder="1"/>
    <xf numFmtId="165" fontId="0" fillId="0" borderId="1" xfId="0" applyNumberFormat="1" applyBorder="1"/>
    <xf numFmtId="44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169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67" fontId="0" fillId="0" borderId="1" xfId="0" applyNumberFormat="1" applyBorder="1"/>
    <xf numFmtId="168" fontId="0" fillId="0" borderId="1" xfId="0" applyNumberFormat="1" applyBorder="1"/>
    <xf numFmtId="0" fontId="1" fillId="0" borderId="1" xfId="0" applyFont="1" applyBorder="1" applyAlignment="1">
      <alignment horizontal="left"/>
    </xf>
    <xf numFmtId="0" fontId="7" fillId="0" borderId="1" xfId="0" applyFont="1" applyBorder="1"/>
  </cellXfs>
  <cellStyles count="2">
    <cellStyle name="Normal" xfId="0" builtinId="0"/>
    <cellStyle name="Porcentaje" xfId="1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a4" displayName="Tabla4" ref="A64:L142" totalsRowCount="1" headerRowDxfId="25" dataDxfId="24">
  <autoFilter ref="A64:L141">
    <filterColumn colId="3">
      <filters>
        <filter val="Pavlova, Ltd."/>
      </filters>
    </filterColumn>
  </autoFilter>
  <tableColumns count="12">
    <tableColumn id="1" name="Id Producto" totalsRowFunction="sum" dataDxfId="23" totalsRowDxfId="22"/>
    <tableColumn id="2" name="Nombre Producto" totalsRowFunction="sum" dataDxfId="21" totalsRowDxfId="0"/>
    <tableColumn id="3" name="Id Proveedor" dataDxfId="20" totalsRowDxfId="19"/>
    <tableColumn id="4" name="Nombre de Proveedor" dataDxfId="18" totalsRowDxfId="17"/>
    <tableColumn id="5" name="Id Categoría" dataDxfId="16" totalsRowDxfId="15"/>
    <tableColumn id="6" name="Nombre Categoria" totalsRowFunction="sum" dataDxfId="14" totalsRowDxfId="13"/>
    <tableColumn id="7" name="Cantidad Por Unidad" dataDxfId="12" totalsRowDxfId="11"/>
    <tableColumn id="8" name="Precio Unidad" dataDxfId="10" totalsRowDxfId="9"/>
    <tableColumn id="9" name="Unidades En Existencia" totalsRowFunction="sum" dataDxfId="8" totalsRowDxfId="7"/>
    <tableColumn id="10" name="Unidades En Pedido" dataDxfId="6" totalsRowDxfId="5"/>
    <tableColumn id="11" name="Nivel Nuevo Pedido" dataDxfId="4" totalsRowDxfId="3"/>
    <tableColumn id="12" name="Suspendido" totalsRowFunction="count" dataDxfId="2" totalsRow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55" workbookViewId="0">
      <selection activeCell="C63" sqref="C63"/>
    </sheetView>
  </sheetViews>
  <sheetFormatPr baseColWidth="10" defaultRowHeight="15" x14ac:dyDescent="0.25"/>
  <cols>
    <col min="1" max="1" width="14.85546875" customWidth="1"/>
    <col min="2" max="2" width="57.42578125" customWidth="1"/>
    <col min="3" max="3" width="16.42578125" customWidth="1"/>
    <col min="4" max="4" width="30.7109375" customWidth="1"/>
    <col min="5" max="5" width="15.42578125" customWidth="1"/>
    <col min="6" max="6" width="21.5703125" customWidth="1"/>
    <col min="7" max="7" width="24" customWidth="1"/>
    <col min="8" max="8" width="17.42578125" customWidth="1"/>
    <col min="9" max="9" width="27" customWidth="1"/>
    <col min="10" max="10" width="23.7109375" customWidth="1"/>
    <col min="11" max="11" width="23.42578125" customWidth="1"/>
    <col min="12" max="12" width="15.285156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20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ht="15.75" x14ac:dyDescent="0.25">
      <c r="A9" s="15" t="s">
        <v>9</v>
      </c>
      <c r="B9" s="15"/>
      <c r="C9" s="16">
        <v>35</v>
      </c>
      <c r="D9" s="16"/>
      <c r="F9" s="6"/>
    </row>
    <row r="10" spans="1:7" ht="15.75" x14ac:dyDescent="0.25">
      <c r="A10" s="15" t="s">
        <v>5</v>
      </c>
      <c r="B10" s="15"/>
      <c r="C10" s="17" t="s">
        <v>235</v>
      </c>
      <c r="D10" s="17"/>
    </row>
    <row r="11" spans="1:7" ht="15.75" x14ac:dyDescent="0.25">
      <c r="A11" s="15" t="s">
        <v>9</v>
      </c>
      <c r="B11" s="15"/>
      <c r="C11" s="16">
        <v>44</v>
      </c>
      <c r="D11" s="16"/>
    </row>
    <row r="12" spans="1:7" ht="15.75" x14ac:dyDescent="0.25">
      <c r="A12" s="15" t="s">
        <v>6</v>
      </c>
      <c r="B12" s="15"/>
      <c r="C12" s="18">
        <v>44477</v>
      </c>
      <c r="D12" s="19"/>
    </row>
    <row r="13" spans="1:7" ht="15.75" x14ac:dyDescent="0.25">
      <c r="A13" s="15" t="s">
        <v>7</v>
      </c>
      <c r="B13" s="15"/>
      <c r="C13" s="20">
        <v>1</v>
      </c>
      <c r="D13" s="20"/>
    </row>
    <row r="14" spans="1:7" ht="15.75" x14ac:dyDescent="0.25">
      <c r="A14" s="15" t="s">
        <v>8</v>
      </c>
      <c r="B14" s="15"/>
      <c r="C14" s="21">
        <v>37</v>
      </c>
      <c r="D14" s="21"/>
    </row>
    <row r="15" spans="1:7" ht="15.75" x14ac:dyDescent="0.25">
      <c r="A15" s="15" t="s">
        <v>9</v>
      </c>
      <c r="B15" s="15"/>
      <c r="C15" s="16">
        <v>48</v>
      </c>
      <c r="D15" s="16"/>
    </row>
    <row r="16" spans="1:7" ht="15.75" x14ac:dyDescent="0.25">
      <c r="A16" s="15" t="s">
        <v>10</v>
      </c>
      <c r="B16" s="15"/>
      <c r="C16" s="22">
        <v>44478</v>
      </c>
      <c r="D16" s="22"/>
    </row>
    <row r="17" spans="1:9" ht="15.75" x14ac:dyDescent="0.25">
      <c r="A17" s="15" t="s">
        <v>11</v>
      </c>
      <c r="B17" s="15"/>
      <c r="C17" s="23">
        <v>0.25</v>
      </c>
      <c r="D17" s="23"/>
    </row>
    <row r="18" spans="1:9" ht="15.75" x14ac:dyDescent="0.25">
      <c r="A18" s="15" t="s">
        <v>12</v>
      </c>
      <c r="B18" s="15"/>
      <c r="C18" s="24">
        <v>122344</v>
      </c>
      <c r="D18" s="24"/>
      <c r="F18" s="5" t="s">
        <v>17</v>
      </c>
      <c r="G18" s="5" t="s">
        <v>18</v>
      </c>
    </row>
    <row r="19" spans="1:9" ht="15.75" x14ac:dyDescent="0.25">
      <c r="A19" s="15" t="s">
        <v>5</v>
      </c>
      <c r="B19" s="15"/>
      <c r="C19" s="17" t="s">
        <v>236</v>
      </c>
      <c r="D19" s="17"/>
    </row>
    <row r="20" spans="1:9" ht="15.75" x14ac:dyDescent="0.25">
      <c r="A20" s="15" t="s">
        <v>13</v>
      </c>
      <c r="B20" s="15"/>
      <c r="C20" s="25">
        <v>35280</v>
      </c>
      <c r="D20" s="25"/>
    </row>
    <row r="21" spans="1:9" ht="15.75" x14ac:dyDescent="0.25">
      <c r="A21" s="15" t="s">
        <v>14</v>
      </c>
      <c r="B21" s="15"/>
      <c r="C21" s="26">
        <v>215</v>
      </c>
      <c r="D21" s="26"/>
    </row>
    <row r="22" spans="1:9" ht="15.75" x14ac:dyDescent="0.25">
      <c r="A22" s="15" t="s">
        <v>5</v>
      </c>
      <c r="B22" s="15"/>
      <c r="C22" s="27" t="s">
        <v>237</v>
      </c>
      <c r="D22" s="27"/>
    </row>
    <row r="23" spans="1:9" ht="15.75" x14ac:dyDescent="0.25">
      <c r="A23" s="15" t="s">
        <v>15</v>
      </c>
      <c r="B23" s="15"/>
      <c r="C23" s="32">
        <v>2.38</v>
      </c>
      <c r="D23" s="32"/>
    </row>
    <row r="24" spans="1:9" ht="15.75" x14ac:dyDescent="0.25">
      <c r="A24" s="15" t="s">
        <v>11</v>
      </c>
      <c r="B24" s="15"/>
      <c r="C24" s="23">
        <v>0.75</v>
      </c>
      <c r="D24" s="23"/>
    </row>
    <row r="25" spans="1:9" ht="15.75" x14ac:dyDescent="0.25">
      <c r="A25" s="15" t="s">
        <v>12</v>
      </c>
      <c r="B25" s="15"/>
      <c r="C25" s="33">
        <v>315</v>
      </c>
      <c r="D25" s="33"/>
      <c r="F25" s="5" t="s">
        <v>17</v>
      </c>
      <c r="G25" s="29" t="s">
        <v>19</v>
      </c>
      <c r="H25" s="29"/>
    </row>
    <row r="26" spans="1:9" ht="15.75" x14ac:dyDescent="0.25">
      <c r="A26" s="15" t="s">
        <v>16</v>
      </c>
      <c r="B26" s="15"/>
      <c r="C26" s="28">
        <v>1588</v>
      </c>
      <c r="D26" s="28"/>
    </row>
    <row r="29" spans="1:9" x14ac:dyDescent="0.25">
      <c r="A29" s="30" t="s">
        <v>22</v>
      </c>
      <c r="B29" s="31"/>
      <c r="C29" s="31"/>
      <c r="D29" s="31"/>
      <c r="E29" s="31"/>
      <c r="F29" s="31"/>
      <c r="G29" s="31"/>
      <c r="H29" s="31"/>
      <c r="I29" s="31"/>
    </row>
    <row r="31" spans="1:9" ht="15.75" x14ac:dyDescent="0.25">
      <c r="A31" s="7" t="s">
        <v>21</v>
      </c>
      <c r="B31" s="7" t="s">
        <v>23</v>
      </c>
      <c r="C31" s="7" t="s">
        <v>27</v>
      </c>
      <c r="D31" s="7" t="s">
        <v>28</v>
      </c>
      <c r="E31" s="7" t="s">
        <v>29</v>
      </c>
    </row>
    <row r="32" spans="1:9" x14ac:dyDescent="0.25">
      <c r="A32" s="4">
        <v>45</v>
      </c>
      <c r="B32" s="4" t="s">
        <v>24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25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26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24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24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26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26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26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26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25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26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24</v>
      </c>
      <c r="C43" s="4">
        <v>33</v>
      </c>
      <c r="D43" s="4">
        <v>33</v>
      </c>
      <c r="E43" s="4">
        <v>192</v>
      </c>
    </row>
    <row r="45" spans="1:9" x14ac:dyDescent="0.25">
      <c r="A45" s="30" t="s">
        <v>30</v>
      </c>
      <c r="B45" s="31"/>
      <c r="C45" s="31"/>
      <c r="D45" s="31"/>
      <c r="E45" s="31"/>
      <c r="F45" s="31"/>
      <c r="G45" s="31"/>
      <c r="H45" s="31"/>
      <c r="I45" s="31"/>
    </row>
    <row r="47" spans="1:9" x14ac:dyDescent="0.25">
      <c r="A47" s="35" t="s">
        <v>1</v>
      </c>
      <c r="B47" s="35"/>
      <c r="C47" s="2">
        <v>-0.01</v>
      </c>
      <c r="D47" s="1"/>
      <c r="E47" s="1"/>
    </row>
    <row r="48" spans="1:9" x14ac:dyDescent="0.25">
      <c r="A48" s="35" t="s">
        <v>238</v>
      </c>
      <c r="B48" s="35"/>
      <c r="C48" s="2">
        <v>125</v>
      </c>
      <c r="D48" s="1"/>
      <c r="E48" s="1"/>
    </row>
    <row r="49" spans="1:12" x14ac:dyDescent="0.25">
      <c r="A49" s="35" t="s">
        <v>2</v>
      </c>
      <c r="B49" s="35"/>
      <c r="C49" s="8">
        <v>44491</v>
      </c>
      <c r="D49" s="1"/>
      <c r="E49" s="1"/>
    </row>
    <row r="50" spans="1:12" x14ac:dyDescent="0.25">
      <c r="A50" s="35" t="s">
        <v>31</v>
      </c>
      <c r="B50" s="35"/>
      <c r="C50" s="9">
        <v>21</v>
      </c>
      <c r="D50" s="1"/>
      <c r="E50" s="1"/>
    </row>
    <row r="51" spans="1:12" x14ac:dyDescent="0.25">
      <c r="A51" s="35" t="s">
        <v>3</v>
      </c>
      <c r="B51" s="35"/>
      <c r="C51" s="34" t="s">
        <v>239</v>
      </c>
      <c r="D51" s="34"/>
      <c r="E51" s="1"/>
    </row>
    <row r="52" spans="1:12" x14ac:dyDescent="0.25">
      <c r="A52" s="35" t="s">
        <v>4</v>
      </c>
      <c r="B52" s="35"/>
      <c r="C52" s="10" t="s">
        <v>242</v>
      </c>
      <c r="D52" s="1"/>
      <c r="E52" s="1"/>
    </row>
    <row r="53" spans="1:12" x14ac:dyDescent="0.25">
      <c r="D53" s="3"/>
    </row>
    <row r="55" spans="1:12" x14ac:dyDescent="0.25">
      <c r="A55" s="30" t="s">
        <v>228</v>
      </c>
      <c r="B55" s="31"/>
      <c r="C55" s="31"/>
      <c r="D55" s="31"/>
      <c r="E55" s="31"/>
      <c r="F55" s="31"/>
      <c r="G55" s="31"/>
      <c r="H55" s="31"/>
      <c r="I55" s="31"/>
    </row>
    <row r="57" spans="1:12" x14ac:dyDescent="0.25">
      <c r="A57" s="27" t="s">
        <v>229</v>
      </c>
      <c r="B57" s="27"/>
      <c r="C57" s="4">
        <v>10</v>
      </c>
    </row>
    <row r="58" spans="1:12" x14ac:dyDescent="0.25">
      <c r="A58" s="27" t="s">
        <v>231</v>
      </c>
      <c r="B58" s="27"/>
      <c r="C58" s="4">
        <v>559</v>
      </c>
    </row>
    <row r="59" spans="1:12" x14ac:dyDescent="0.25">
      <c r="A59" s="27" t="s">
        <v>232</v>
      </c>
      <c r="B59" s="27"/>
      <c r="C59" s="4">
        <v>8</v>
      </c>
    </row>
    <row r="60" spans="1:12" x14ac:dyDescent="0.25">
      <c r="A60" s="27" t="s">
        <v>233</v>
      </c>
      <c r="B60" s="27"/>
      <c r="C60" s="4">
        <v>5</v>
      </c>
    </row>
    <row r="61" spans="1:12" x14ac:dyDescent="0.25">
      <c r="A61" s="27" t="s">
        <v>234</v>
      </c>
      <c r="B61" s="27"/>
      <c r="C61" s="4">
        <v>613</v>
      </c>
    </row>
    <row r="64" spans="1:12" x14ac:dyDescent="0.25">
      <c r="A64" s="11" t="s">
        <v>32</v>
      </c>
      <c r="B64" s="11" t="s">
        <v>33</v>
      </c>
      <c r="C64" s="11" t="s">
        <v>34</v>
      </c>
      <c r="D64" s="11" t="s">
        <v>35</v>
      </c>
      <c r="E64" s="11" t="s">
        <v>36</v>
      </c>
      <c r="F64" s="11" t="s">
        <v>37</v>
      </c>
      <c r="G64" s="11" t="s">
        <v>38</v>
      </c>
      <c r="H64" s="11" t="s">
        <v>39</v>
      </c>
      <c r="I64" s="11" t="s">
        <v>40</v>
      </c>
      <c r="J64" s="11" t="s">
        <v>41</v>
      </c>
      <c r="K64" s="11" t="s">
        <v>42</v>
      </c>
      <c r="L64" s="11" t="s">
        <v>43</v>
      </c>
    </row>
    <row r="65" spans="1:12" x14ac:dyDescent="0.25">
      <c r="A65" s="12">
        <v>16</v>
      </c>
      <c r="B65" s="12" t="s">
        <v>44</v>
      </c>
      <c r="C65" s="12">
        <v>7</v>
      </c>
      <c r="D65" s="12" t="s">
        <v>45</v>
      </c>
      <c r="E65" s="12">
        <v>3</v>
      </c>
      <c r="F65" s="12" t="s">
        <v>46</v>
      </c>
      <c r="G65" s="12" t="s">
        <v>47</v>
      </c>
      <c r="H65" s="12">
        <v>17.45</v>
      </c>
      <c r="I65" s="12">
        <v>29</v>
      </c>
      <c r="J65" s="12">
        <v>0</v>
      </c>
      <c r="K65" s="12">
        <v>10</v>
      </c>
      <c r="L65" s="12" t="b">
        <v>0</v>
      </c>
    </row>
    <row r="66" spans="1:12" hidden="1" x14ac:dyDescent="0.25">
      <c r="A66" s="12">
        <v>39</v>
      </c>
      <c r="B66" s="12" t="s">
        <v>48</v>
      </c>
      <c r="C66" s="12">
        <v>18</v>
      </c>
      <c r="D66" s="12" t="s">
        <v>49</v>
      </c>
      <c r="E66" s="12">
        <v>1</v>
      </c>
      <c r="F66" s="12" t="s">
        <v>50</v>
      </c>
      <c r="G66" s="12" t="s">
        <v>51</v>
      </c>
      <c r="H66" s="12">
        <v>18</v>
      </c>
      <c r="I66" s="12">
        <v>69</v>
      </c>
      <c r="J66" s="12">
        <v>0</v>
      </c>
      <c r="K66" s="12">
        <v>5</v>
      </c>
      <c r="L66" s="12" t="b">
        <v>0</v>
      </c>
    </row>
    <row r="67" spans="1:12" hidden="1" x14ac:dyDescent="0.25">
      <c r="A67" s="12">
        <v>12</v>
      </c>
      <c r="B67" s="12" t="s">
        <v>52</v>
      </c>
      <c r="C67" s="12">
        <v>5</v>
      </c>
      <c r="D67" s="12" t="s">
        <v>53</v>
      </c>
      <c r="E67" s="12">
        <v>4</v>
      </c>
      <c r="F67" s="12" t="s">
        <v>54</v>
      </c>
      <c r="G67" s="12" t="s">
        <v>55</v>
      </c>
      <c r="H67" s="12">
        <v>38</v>
      </c>
      <c r="I67" s="12">
        <v>86</v>
      </c>
      <c r="J67" s="12">
        <v>0</v>
      </c>
      <c r="K67" s="12">
        <v>0</v>
      </c>
      <c r="L67" s="12" t="b">
        <v>0</v>
      </c>
    </row>
    <row r="68" spans="1:12" hidden="1" x14ac:dyDescent="0.25">
      <c r="A68" s="12">
        <v>67</v>
      </c>
      <c r="B68" s="12" t="s">
        <v>56</v>
      </c>
      <c r="C68" s="12">
        <v>16</v>
      </c>
      <c r="D68" s="12" t="s">
        <v>57</v>
      </c>
      <c r="E68" s="12">
        <v>1</v>
      </c>
      <c r="F68" s="12" t="s">
        <v>50</v>
      </c>
      <c r="G68" s="12" t="s">
        <v>58</v>
      </c>
      <c r="H68" s="12">
        <v>14</v>
      </c>
      <c r="I68" s="12">
        <v>52</v>
      </c>
      <c r="J68" s="12">
        <v>0</v>
      </c>
      <c r="K68" s="12">
        <v>10</v>
      </c>
      <c r="L68" s="12" t="b">
        <v>0</v>
      </c>
    </row>
    <row r="69" spans="1:12" hidden="1" x14ac:dyDescent="0.25">
      <c r="A69" s="12">
        <v>28</v>
      </c>
      <c r="B69" s="12" t="s">
        <v>59</v>
      </c>
      <c r="C69" s="12">
        <v>12</v>
      </c>
      <c r="D69" s="12" t="s">
        <v>60</v>
      </c>
      <c r="E69" s="12">
        <v>7</v>
      </c>
      <c r="F69" s="12" t="s">
        <v>61</v>
      </c>
      <c r="G69" s="12" t="s">
        <v>62</v>
      </c>
      <c r="H69" s="12">
        <v>45.6</v>
      </c>
      <c r="I69" s="12">
        <v>26</v>
      </c>
      <c r="J69" s="12">
        <v>0</v>
      </c>
      <c r="K69" s="12">
        <v>0</v>
      </c>
      <c r="L69" s="12" t="b">
        <v>1</v>
      </c>
    </row>
    <row r="70" spans="1:12" hidden="1" x14ac:dyDescent="0.25">
      <c r="A70" s="12">
        <v>24</v>
      </c>
      <c r="B70" s="12" t="s">
        <v>63</v>
      </c>
      <c r="C70" s="12">
        <v>10</v>
      </c>
      <c r="D70" s="12" t="s">
        <v>64</v>
      </c>
      <c r="E70" s="12">
        <v>1</v>
      </c>
      <c r="F70" s="12" t="s">
        <v>50</v>
      </c>
      <c r="G70" s="12" t="s">
        <v>65</v>
      </c>
      <c r="H70" s="12">
        <v>4.5</v>
      </c>
      <c r="I70" s="12">
        <v>20</v>
      </c>
      <c r="J70" s="12">
        <v>0</v>
      </c>
      <c r="K70" s="12">
        <v>0</v>
      </c>
      <c r="L70" s="12" t="b">
        <v>1</v>
      </c>
    </row>
    <row r="71" spans="1:12" hidden="1" x14ac:dyDescent="0.25">
      <c r="A71" s="12">
        <v>59</v>
      </c>
      <c r="B71" s="12" t="s">
        <v>66</v>
      </c>
      <c r="C71" s="12">
        <v>28</v>
      </c>
      <c r="D71" s="12" t="s">
        <v>67</v>
      </c>
      <c r="E71" s="12">
        <v>4</v>
      </c>
      <c r="F71" s="12" t="s">
        <v>54</v>
      </c>
      <c r="G71" s="12" t="s">
        <v>68</v>
      </c>
      <c r="H71" s="12">
        <v>55</v>
      </c>
      <c r="I71" s="12">
        <v>79</v>
      </c>
      <c r="J71" s="12">
        <v>0</v>
      </c>
      <c r="K71" s="12">
        <v>0</v>
      </c>
      <c r="L71" s="12" t="b">
        <v>0</v>
      </c>
    </row>
    <row r="72" spans="1:12" x14ac:dyDescent="0.25">
      <c r="A72" s="12">
        <v>18</v>
      </c>
      <c r="B72" s="12" t="s">
        <v>69</v>
      </c>
      <c r="C72" s="12">
        <v>7</v>
      </c>
      <c r="D72" s="12" t="s">
        <v>45</v>
      </c>
      <c r="E72" s="12">
        <v>8</v>
      </c>
      <c r="F72" s="12" t="s">
        <v>70</v>
      </c>
      <c r="G72" s="12" t="s">
        <v>71</v>
      </c>
      <c r="H72" s="12">
        <v>62.5</v>
      </c>
      <c r="I72" s="12">
        <v>42</v>
      </c>
      <c r="J72" s="12">
        <v>0</v>
      </c>
      <c r="K72" s="12">
        <v>0</v>
      </c>
      <c r="L72" s="12" t="b">
        <v>0</v>
      </c>
    </row>
    <row r="73" spans="1:12" hidden="1" x14ac:dyDescent="0.25">
      <c r="A73" s="12">
        <v>57</v>
      </c>
      <c r="B73" s="12" t="s">
        <v>72</v>
      </c>
      <c r="C73" s="12">
        <v>26</v>
      </c>
      <c r="D73" s="12" t="s">
        <v>73</v>
      </c>
      <c r="E73" s="12">
        <v>5</v>
      </c>
      <c r="F73" s="12" t="s">
        <v>74</v>
      </c>
      <c r="G73" s="12" t="s">
        <v>75</v>
      </c>
      <c r="H73" s="12">
        <v>19.5</v>
      </c>
      <c r="I73" s="12">
        <v>36</v>
      </c>
      <c r="J73" s="12">
        <v>0</v>
      </c>
      <c r="K73" s="12">
        <v>20</v>
      </c>
      <c r="L73" s="12" t="b">
        <v>0</v>
      </c>
    </row>
    <row r="74" spans="1:12" hidden="1" x14ac:dyDescent="0.25">
      <c r="A74" s="12">
        <v>30</v>
      </c>
      <c r="B74" s="12" t="s">
        <v>76</v>
      </c>
      <c r="C74" s="12">
        <v>13</v>
      </c>
      <c r="D74" s="12" t="s">
        <v>77</v>
      </c>
      <c r="E74" s="12">
        <v>8</v>
      </c>
      <c r="F74" s="12" t="s">
        <v>70</v>
      </c>
      <c r="G74" s="12" t="s">
        <v>78</v>
      </c>
      <c r="H74" s="12">
        <v>25.89</v>
      </c>
      <c r="I74" s="12">
        <v>10</v>
      </c>
      <c r="J74" s="12">
        <v>0</v>
      </c>
      <c r="K74" s="12">
        <v>15</v>
      </c>
      <c r="L74" s="12" t="b">
        <v>0</v>
      </c>
    </row>
    <row r="75" spans="1:12" hidden="1" x14ac:dyDescent="0.25">
      <c r="A75" s="12">
        <v>26</v>
      </c>
      <c r="B75" s="12" t="s">
        <v>79</v>
      </c>
      <c r="C75" s="12">
        <v>11</v>
      </c>
      <c r="D75" s="12" t="s">
        <v>80</v>
      </c>
      <c r="E75" s="12">
        <v>3</v>
      </c>
      <c r="F75" s="12" t="s">
        <v>46</v>
      </c>
      <c r="G75" s="12" t="s">
        <v>81</v>
      </c>
      <c r="H75" s="12">
        <v>31.23</v>
      </c>
      <c r="I75" s="12">
        <v>15</v>
      </c>
      <c r="J75" s="12">
        <v>0</v>
      </c>
      <c r="K75" s="12">
        <v>0</v>
      </c>
      <c r="L75" s="12" t="b">
        <v>0</v>
      </c>
    </row>
    <row r="76" spans="1:12" hidden="1" x14ac:dyDescent="0.25">
      <c r="A76" s="12">
        <v>25</v>
      </c>
      <c r="B76" s="12" t="s">
        <v>82</v>
      </c>
      <c r="C76" s="12">
        <v>11</v>
      </c>
      <c r="D76" s="12" t="s">
        <v>80</v>
      </c>
      <c r="E76" s="12">
        <v>3</v>
      </c>
      <c r="F76" s="12" t="s">
        <v>46</v>
      </c>
      <c r="G76" s="12" t="s">
        <v>83</v>
      </c>
      <c r="H76" s="12">
        <v>14</v>
      </c>
      <c r="I76" s="12">
        <v>76</v>
      </c>
      <c r="J76" s="12">
        <v>0</v>
      </c>
      <c r="K76" s="12">
        <v>30</v>
      </c>
      <c r="L76" s="12" t="b">
        <v>0</v>
      </c>
    </row>
    <row r="77" spans="1:12" hidden="1" x14ac:dyDescent="0.25">
      <c r="A77" s="12">
        <v>6</v>
      </c>
      <c r="B77" s="12" t="s">
        <v>84</v>
      </c>
      <c r="C77" s="12">
        <v>3</v>
      </c>
      <c r="D77" s="12" t="s">
        <v>85</v>
      </c>
      <c r="E77" s="12">
        <v>2</v>
      </c>
      <c r="F77" s="12" t="s">
        <v>86</v>
      </c>
      <c r="G77" s="12" t="s">
        <v>87</v>
      </c>
      <c r="H77" s="12">
        <v>25</v>
      </c>
      <c r="I77" s="12">
        <v>120</v>
      </c>
      <c r="J77" s="12">
        <v>0</v>
      </c>
      <c r="K77" s="12">
        <v>25</v>
      </c>
      <c r="L77" s="12" t="b">
        <v>0</v>
      </c>
    </row>
    <row r="78" spans="1:12" hidden="1" x14ac:dyDescent="0.25">
      <c r="A78" s="12">
        <v>33</v>
      </c>
      <c r="B78" s="12" t="s">
        <v>88</v>
      </c>
      <c r="C78" s="12">
        <v>15</v>
      </c>
      <c r="D78" s="12" t="s">
        <v>89</v>
      </c>
      <c r="E78" s="12">
        <v>4</v>
      </c>
      <c r="F78" s="12" t="s">
        <v>54</v>
      </c>
      <c r="G78" s="12" t="s">
        <v>90</v>
      </c>
      <c r="H78" s="12">
        <v>2.5</v>
      </c>
      <c r="I78" s="12">
        <v>112</v>
      </c>
      <c r="J78" s="12">
        <v>0</v>
      </c>
      <c r="K78" s="12">
        <v>20</v>
      </c>
      <c r="L78" s="12" t="b">
        <v>0</v>
      </c>
    </row>
    <row r="79" spans="1:12" hidden="1" x14ac:dyDescent="0.25">
      <c r="A79" s="12">
        <v>68</v>
      </c>
      <c r="B79" s="12" t="s">
        <v>91</v>
      </c>
      <c r="C79" s="12">
        <v>8</v>
      </c>
      <c r="D79" s="12" t="s">
        <v>92</v>
      </c>
      <c r="E79" s="12">
        <v>3</v>
      </c>
      <c r="F79" s="12" t="s">
        <v>46</v>
      </c>
      <c r="G79" s="12" t="s">
        <v>93</v>
      </c>
      <c r="H79" s="12">
        <v>12.5</v>
      </c>
      <c r="I79" s="12">
        <v>6</v>
      </c>
      <c r="J79" s="12">
        <v>10</v>
      </c>
      <c r="K79" s="12">
        <v>15</v>
      </c>
      <c r="L79" s="12" t="b">
        <v>0</v>
      </c>
    </row>
    <row r="80" spans="1:12" hidden="1" x14ac:dyDescent="0.25">
      <c r="A80" s="12">
        <v>47</v>
      </c>
      <c r="B80" s="12" t="s">
        <v>94</v>
      </c>
      <c r="C80" s="12">
        <v>22</v>
      </c>
      <c r="D80" s="12" t="s">
        <v>95</v>
      </c>
      <c r="E80" s="12">
        <v>3</v>
      </c>
      <c r="F80" s="12" t="s">
        <v>46</v>
      </c>
      <c r="G80" s="12" t="s">
        <v>96</v>
      </c>
      <c r="H80" s="12">
        <v>9.5</v>
      </c>
      <c r="I80" s="12">
        <v>36</v>
      </c>
      <c r="J80" s="12">
        <v>0</v>
      </c>
      <c r="K80" s="12">
        <v>0</v>
      </c>
      <c r="L80" s="12" t="b">
        <v>0</v>
      </c>
    </row>
    <row r="81" spans="1:12" hidden="1" x14ac:dyDescent="0.25">
      <c r="A81" s="12">
        <v>27</v>
      </c>
      <c r="B81" s="12" t="s">
        <v>97</v>
      </c>
      <c r="C81" s="12">
        <v>11</v>
      </c>
      <c r="D81" s="12" t="s">
        <v>80</v>
      </c>
      <c r="E81" s="12">
        <v>3</v>
      </c>
      <c r="F81" s="12" t="s">
        <v>46</v>
      </c>
      <c r="G81" s="12" t="s">
        <v>98</v>
      </c>
      <c r="H81" s="12">
        <v>43.9</v>
      </c>
      <c r="I81" s="12">
        <v>49</v>
      </c>
      <c r="J81" s="12">
        <v>0</v>
      </c>
      <c r="K81" s="12">
        <v>30</v>
      </c>
      <c r="L81" s="12" t="b">
        <v>0</v>
      </c>
    </row>
    <row r="82" spans="1:12" hidden="1" x14ac:dyDescent="0.25">
      <c r="A82" s="12">
        <v>77</v>
      </c>
      <c r="B82" s="12" t="s">
        <v>99</v>
      </c>
      <c r="C82" s="12">
        <v>12</v>
      </c>
      <c r="D82" s="12" t="s">
        <v>60</v>
      </c>
      <c r="E82" s="12">
        <v>2</v>
      </c>
      <c r="F82" s="12" t="s">
        <v>86</v>
      </c>
      <c r="G82" s="12" t="s">
        <v>100</v>
      </c>
      <c r="H82" s="12">
        <v>13</v>
      </c>
      <c r="I82" s="12">
        <v>32</v>
      </c>
      <c r="J82" s="12">
        <v>0</v>
      </c>
      <c r="K82" s="12">
        <v>15</v>
      </c>
      <c r="L82" s="12" t="b">
        <v>0</v>
      </c>
    </row>
    <row r="83" spans="1:12" hidden="1" x14ac:dyDescent="0.25">
      <c r="A83" s="12">
        <v>46</v>
      </c>
      <c r="B83" s="12" t="s">
        <v>101</v>
      </c>
      <c r="C83" s="12">
        <v>21</v>
      </c>
      <c r="D83" s="12" t="s">
        <v>102</v>
      </c>
      <c r="E83" s="12">
        <v>8</v>
      </c>
      <c r="F83" s="12" t="s">
        <v>70</v>
      </c>
      <c r="G83" s="12" t="s">
        <v>103</v>
      </c>
      <c r="H83" s="12">
        <v>12</v>
      </c>
      <c r="I83" s="12">
        <v>95</v>
      </c>
      <c r="J83" s="12">
        <v>0</v>
      </c>
      <c r="K83" s="12">
        <v>0</v>
      </c>
      <c r="L83" s="12" t="b">
        <v>0</v>
      </c>
    </row>
    <row r="84" spans="1:12" hidden="1" x14ac:dyDescent="0.25">
      <c r="A84" s="12">
        <v>8</v>
      </c>
      <c r="B84" s="12" t="s">
        <v>104</v>
      </c>
      <c r="C84" s="12">
        <v>3</v>
      </c>
      <c r="D84" s="12" t="s">
        <v>85</v>
      </c>
      <c r="E84" s="12">
        <v>2</v>
      </c>
      <c r="F84" s="12" t="s">
        <v>86</v>
      </c>
      <c r="G84" s="12" t="s">
        <v>105</v>
      </c>
      <c r="H84" s="12">
        <v>40</v>
      </c>
      <c r="I84" s="12">
        <v>6</v>
      </c>
      <c r="J84" s="12">
        <v>0</v>
      </c>
      <c r="K84" s="12">
        <v>0</v>
      </c>
      <c r="L84" s="12" t="b">
        <v>0</v>
      </c>
    </row>
    <row r="85" spans="1:12" hidden="1" x14ac:dyDescent="0.25">
      <c r="A85" s="12">
        <v>35</v>
      </c>
      <c r="B85" s="12" t="s">
        <v>106</v>
      </c>
      <c r="C85" s="12">
        <v>16</v>
      </c>
      <c r="D85" s="12" t="s">
        <v>57</v>
      </c>
      <c r="E85" s="12">
        <v>1</v>
      </c>
      <c r="F85" s="12" t="s">
        <v>50</v>
      </c>
      <c r="G85" s="12" t="s">
        <v>58</v>
      </c>
      <c r="H85" s="12">
        <v>18</v>
      </c>
      <c r="I85" s="12">
        <v>20</v>
      </c>
      <c r="J85" s="12">
        <v>0</v>
      </c>
      <c r="K85" s="12">
        <v>15</v>
      </c>
      <c r="L85" s="12" t="b">
        <v>0</v>
      </c>
    </row>
    <row r="86" spans="1:12" hidden="1" x14ac:dyDescent="0.25">
      <c r="A86" s="12">
        <v>74</v>
      </c>
      <c r="B86" s="12" t="s">
        <v>107</v>
      </c>
      <c r="C86" s="12">
        <v>4</v>
      </c>
      <c r="D86" s="12" t="s">
        <v>108</v>
      </c>
      <c r="E86" s="12">
        <v>7</v>
      </c>
      <c r="F86" s="12" t="s">
        <v>61</v>
      </c>
      <c r="G86" s="12" t="s">
        <v>68</v>
      </c>
      <c r="H86" s="12">
        <v>10</v>
      </c>
      <c r="I86" s="12">
        <v>4</v>
      </c>
      <c r="J86" s="12">
        <v>20</v>
      </c>
      <c r="K86" s="12">
        <v>5</v>
      </c>
      <c r="L86" s="12" t="b">
        <v>0</v>
      </c>
    </row>
    <row r="87" spans="1:12" hidden="1" x14ac:dyDescent="0.25">
      <c r="A87" s="12">
        <v>11</v>
      </c>
      <c r="B87" s="12" t="s">
        <v>109</v>
      </c>
      <c r="C87" s="12">
        <v>5</v>
      </c>
      <c r="D87" s="12" t="s">
        <v>53</v>
      </c>
      <c r="E87" s="12">
        <v>4</v>
      </c>
      <c r="F87" s="12" t="s">
        <v>54</v>
      </c>
      <c r="G87" s="12" t="s">
        <v>110</v>
      </c>
      <c r="H87" s="12">
        <v>21</v>
      </c>
      <c r="I87" s="12">
        <v>22</v>
      </c>
      <c r="J87" s="12">
        <v>30</v>
      </c>
      <c r="K87" s="12">
        <v>30</v>
      </c>
      <c r="L87" s="12" t="b">
        <v>0</v>
      </c>
    </row>
    <row r="88" spans="1:12" hidden="1" x14ac:dyDescent="0.25">
      <c r="A88" s="12">
        <v>36</v>
      </c>
      <c r="B88" s="12" t="s">
        <v>111</v>
      </c>
      <c r="C88" s="12">
        <v>17</v>
      </c>
      <c r="D88" s="12" t="s">
        <v>112</v>
      </c>
      <c r="E88" s="12">
        <v>8</v>
      </c>
      <c r="F88" s="12" t="s">
        <v>70</v>
      </c>
      <c r="G88" s="12" t="s">
        <v>113</v>
      </c>
      <c r="H88" s="12">
        <v>19</v>
      </c>
      <c r="I88" s="12">
        <v>112</v>
      </c>
      <c r="J88" s="12">
        <v>0</v>
      </c>
      <c r="K88" s="12">
        <v>20</v>
      </c>
      <c r="L88" s="12" t="b">
        <v>0</v>
      </c>
    </row>
    <row r="89" spans="1:12" hidden="1" x14ac:dyDescent="0.25">
      <c r="A89" s="12">
        <v>7</v>
      </c>
      <c r="B89" s="12" t="s">
        <v>114</v>
      </c>
      <c r="C89" s="12">
        <v>3</v>
      </c>
      <c r="D89" s="12" t="s">
        <v>85</v>
      </c>
      <c r="E89" s="12">
        <v>7</v>
      </c>
      <c r="F89" s="12" t="s">
        <v>61</v>
      </c>
      <c r="G89" s="12" t="s">
        <v>115</v>
      </c>
      <c r="H89" s="12">
        <v>30</v>
      </c>
      <c r="I89" s="12">
        <v>15</v>
      </c>
      <c r="J89" s="12">
        <v>0</v>
      </c>
      <c r="K89" s="12">
        <v>10</v>
      </c>
      <c r="L89" s="12" t="b">
        <v>0</v>
      </c>
    </row>
    <row r="90" spans="1:12" hidden="1" x14ac:dyDescent="0.25">
      <c r="A90" s="12">
        <v>38</v>
      </c>
      <c r="B90" s="12" t="s">
        <v>116</v>
      </c>
      <c r="C90" s="12">
        <v>18</v>
      </c>
      <c r="D90" s="12" t="s">
        <v>49</v>
      </c>
      <c r="E90" s="12">
        <v>1</v>
      </c>
      <c r="F90" s="12" t="s">
        <v>50</v>
      </c>
      <c r="G90" s="12" t="s">
        <v>117</v>
      </c>
      <c r="H90" s="12">
        <v>263.5</v>
      </c>
      <c r="I90" s="12">
        <v>17</v>
      </c>
      <c r="J90" s="12">
        <v>0</v>
      </c>
      <c r="K90" s="12">
        <v>15</v>
      </c>
      <c r="L90" s="12" t="b">
        <v>0</v>
      </c>
    </row>
    <row r="91" spans="1:12" hidden="1" x14ac:dyDescent="0.25">
      <c r="A91" s="12">
        <v>4</v>
      </c>
      <c r="B91" s="12" t="s">
        <v>118</v>
      </c>
      <c r="C91" s="12">
        <v>2</v>
      </c>
      <c r="D91" s="12" t="s">
        <v>119</v>
      </c>
      <c r="E91" s="12">
        <v>2</v>
      </c>
      <c r="F91" s="12" t="s">
        <v>86</v>
      </c>
      <c r="G91" s="12" t="s">
        <v>120</v>
      </c>
      <c r="H91" s="12">
        <v>22</v>
      </c>
      <c r="I91" s="12">
        <v>53</v>
      </c>
      <c r="J91" s="12">
        <v>0</v>
      </c>
      <c r="K91" s="12">
        <v>0</v>
      </c>
      <c r="L91" s="12" t="b">
        <v>0</v>
      </c>
    </row>
    <row r="92" spans="1:12" hidden="1" x14ac:dyDescent="0.25">
      <c r="A92" s="12">
        <v>41</v>
      </c>
      <c r="B92" s="12" t="s">
        <v>121</v>
      </c>
      <c r="C92" s="12">
        <v>19</v>
      </c>
      <c r="D92" s="12" t="s">
        <v>122</v>
      </c>
      <c r="E92" s="12">
        <v>8</v>
      </c>
      <c r="F92" s="12" t="s">
        <v>70</v>
      </c>
      <c r="G92" s="12" t="s">
        <v>123</v>
      </c>
      <c r="H92" s="12">
        <v>9.65</v>
      </c>
      <c r="I92" s="12">
        <v>85</v>
      </c>
      <c r="J92" s="12">
        <v>0</v>
      </c>
      <c r="K92" s="12">
        <v>10</v>
      </c>
      <c r="L92" s="12" t="b">
        <v>0</v>
      </c>
    </row>
    <row r="93" spans="1:12" x14ac:dyDescent="0.25">
      <c r="A93" s="12">
        <v>17</v>
      </c>
      <c r="B93" s="12" t="s">
        <v>124</v>
      </c>
      <c r="C93" s="12">
        <v>7</v>
      </c>
      <c r="D93" s="12" t="s">
        <v>45</v>
      </c>
      <c r="E93" s="12">
        <v>6</v>
      </c>
      <c r="F93" s="12" t="s">
        <v>125</v>
      </c>
      <c r="G93" s="12" t="s">
        <v>126</v>
      </c>
      <c r="H93" s="12">
        <v>39</v>
      </c>
      <c r="I93" s="12">
        <v>0</v>
      </c>
      <c r="J93" s="12">
        <v>0</v>
      </c>
      <c r="K93" s="12">
        <v>0</v>
      </c>
      <c r="L93" s="12" t="b">
        <v>1</v>
      </c>
    </row>
    <row r="94" spans="1:12" hidden="1" x14ac:dyDescent="0.25">
      <c r="A94" s="12">
        <v>13</v>
      </c>
      <c r="B94" s="12" t="s">
        <v>127</v>
      </c>
      <c r="C94" s="12">
        <v>6</v>
      </c>
      <c r="D94" s="12" t="s">
        <v>128</v>
      </c>
      <c r="E94" s="12">
        <v>8</v>
      </c>
      <c r="F94" s="12" t="s">
        <v>70</v>
      </c>
      <c r="G94" s="12" t="s">
        <v>129</v>
      </c>
      <c r="H94" s="12">
        <v>6</v>
      </c>
      <c r="I94" s="12">
        <v>24</v>
      </c>
      <c r="J94" s="12">
        <v>0</v>
      </c>
      <c r="K94" s="12">
        <v>5</v>
      </c>
      <c r="L94" s="12" t="b">
        <v>0</v>
      </c>
    </row>
    <row r="95" spans="1:12" hidden="1" x14ac:dyDescent="0.25">
      <c r="A95" s="12">
        <v>64</v>
      </c>
      <c r="B95" s="12" t="s">
        <v>130</v>
      </c>
      <c r="C95" s="12">
        <v>12</v>
      </c>
      <c r="D95" s="12" t="s">
        <v>60</v>
      </c>
      <c r="E95" s="12">
        <v>5</v>
      </c>
      <c r="F95" s="12" t="s">
        <v>74</v>
      </c>
      <c r="G95" s="12" t="s">
        <v>131</v>
      </c>
      <c r="H95" s="12">
        <v>33.25</v>
      </c>
      <c r="I95" s="12">
        <v>22</v>
      </c>
      <c r="J95" s="12">
        <v>80</v>
      </c>
      <c r="K95" s="12">
        <v>30</v>
      </c>
      <c r="L95" s="12" t="b">
        <v>0</v>
      </c>
    </row>
    <row r="96" spans="1:12" hidden="1" x14ac:dyDescent="0.25">
      <c r="A96" s="12">
        <v>65</v>
      </c>
      <c r="B96" s="12" t="s">
        <v>132</v>
      </c>
      <c r="C96" s="12">
        <v>2</v>
      </c>
      <c r="D96" s="12" t="s">
        <v>119</v>
      </c>
      <c r="E96" s="12">
        <v>2</v>
      </c>
      <c r="F96" s="12" t="s">
        <v>86</v>
      </c>
      <c r="G96" s="12" t="s">
        <v>133</v>
      </c>
      <c r="H96" s="12">
        <v>21.05</v>
      </c>
      <c r="I96" s="12">
        <v>76</v>
      </c>
      <c r="J96" s="12">
        <v>0</v>
      </c>
      <c r="K96" s="12">
        <v>0</v>
      </c>
      <c r="L96" s="12" t="b">
        <v>0</v>
      </c>
    </row>
    <row r="97" spans="1:12" hidden="1" x14ac:dyDescent="0.25">
      <c r="A97" s="12">
        <v>50</v>
      </c>
      <c r="B97" s="12" t="s">
        <v>134</v>
      </c>
      <c r="C97" s="12">
        <v>23</v>
      </c>
      <c r="D97" s="12" t="s">
        <v>135</v>
      </c>
      <c r="E97" s="12">
        <v>3</v>
      </c>
      <c r="F97" s="12" t="s">
        <v>46</v>
      </c>
      <c r="G97" s="12" t="s">
        <v>136</v>
      </c>
      <c r="H97" s="12">
        <v>16.25</v>
      </c>
      <c r="I97" s="12">
        <v>65</v>
      </c>
      <c r="J97" s="12">
        <v>0</v>
      </c>
      <c r="K97" s="12">
        <v>30</v>
      </c>
      <c r="L97" s="12" t="b">
        <v>0</v>
      </c>
    </row>
    <row r="98" spans="1:12" x14ac:dyDescent="0.25">
      <c r="A98" s="12">
        <v>63</v>
      </c>
      <c r="B98" s="12" t="s">
        <v>137</v>
      </c>
      <c r="C98" s="12">
        <v>7</v>
      </c>
      <c r="D98" s="12" t="s">
        <v>45</v>
      </c>
      <c r="E98" s="12">
        <v>2</v>
      </c>
      <c r="F98" s="12" t="s">
        <v>86</v>
      </c>
      <c r="G98" s="12" t="s">
        <v>138</v>
      </c>
      <c r="H98" s="12">
        <v>43.9</v>
      </c>
      <c r="I98" s="12">
        <v>24</v>
      </c>
      <c r="J98" s="12">
        <v>0</v>
      </c>
      <c r="K98" s="12">
        <v>5</v>
      </c>
      <c r="L98" s="12" t="b">
        <v>0</v>
      </c>
    </row>
    <row r="99" spans="1:12" hidden="1" x14ac:dyDescent="0.25">
      <c r="A99" s="12">
        <v>75</v>
      </c>
      <c r="B99" s="12" t="s">
        <v>139</v>
      </c>
      <c r="C99" s="12">
        <v>12</v>
      </c>
      <c r="D99" s="12" t="s">
        <v>60</v>
      </c>
      <c r="E99" s="12">
        <v>1</v>
      </c>
      <c r="F99" s="12" t="s">
        <v>50</v>
      </c>
      <c r="G99" s="12" t="s">
        <v>140</v>
      </c>
      <c r="H99" s="12">
        <v>7.75</v>
      </c>
      <c r="I99" s="12">
        <v>125</v>
      </c>
      <c r="J99" s="12">
        <v>0</v>
      </c>
      <c r="K99" s="12">
        <v>25</v>
      </c>
      <c r="L99" s="12" t="b">
        <v>0</v>
      </c>
    </row>
    <row r="100" spans="1:12" hidden="1" x14ac:dyDescent="0.25">
      <c r="A100" s="12">
        <v>52</v>
      </c>
      <c r="B100" s="12" t="s">
        <v>141</v>
      </c>
      <c r="C100" s="12">
        <v>24</v>
      </c>
      <c r="D100" s="12" t="s">
        <v>142</v>
      </c>
      <c r="E100" s="12">
        <v>5</v>
      </c>
      <c r="F100" s="12" t="s">
        <v>74</v>
      </c>
      <c r="G100" s="12" t="s">
        <v>143</v>
      </c>
      <c r="H100" s="12">
        <v>7</v>
      </c>
      <c r="I100" s="12">
        <v>38</v>
      </c>
      <c r="J100" s="12">
        <v>0</v>
      </c>
      <c r="K100" s="12">
        <v>25</v>
      </c>
      <c r="L100" s="12" t="b">
        <v>0</v>
      </c>
    </row>
    <row r="101" spans="1:12" hidden="1" x14ac:dyDescent="0.25">
      <c r="A101" s="12">
        <v>2</v>
      </c>
      <c r="B101" s="12" t="s">
        <v>144</v>
      </c>
      <c r="C101" s="12">
        <v>1</v>
      </c>
      <c r="D101" s="12" t="s">
        <v>145</v>
      </c>
      <c r="E101" s="12">
        <v>1</v>
      </c>
      <c r="F101" s="12" t="s">
        <v>50</v>
      </c>
      <c r="G101" s="12" t="s">
        <v>58</v>
      </c>
      <c r="H101" s="12">
        <v>19</v>
      </c>
      <c r="I101" s="12">
        <v>17</v>
      </c>
      <c r="J101" s="12">
        <v>40</v>
      </c>
      <c r="K101" s="12">
        <v>25</v>
      </c>
      <c r="L101" s="12" t="b">
        <v>0</v>
      </c>
    </row>
    <row r="102" spans="1:12" hidden="1" x14ac:dyDescent="0.25">
      <c r="A102" s="12">
        <v>69</v>
      </c>
      <c r="B102" s="12" t="s">
        <v>146</v>
      </c>
      <c r="C102" s="12">
        <v>15</v>
      </c>
      <c r="D102" s="12" t="s">
        <v>89</v>
      </c>
      <c r="E102" s="12">
        <v>4</v>
      </c>
      <c r="F102" s="12" t="s">
        <v>54</v>
      </c>
      <c r="G102" s="12" t="s">
        <v>147</v>
      </c>
      <c r="H102" s="12">
        <v>36</v>
      </c>
      <c r="I102" s="12">
        <v>26</v>
      </c>
      <c r="J102" s="12">
        <v>0</v>
      </c>
      <c r="K102" s="12">
        <v>15</v>
      </c>
      <c r="L102" s="12" t="b">
        <v>0</v>
      </c>
    </row>
    <row r="103" spans="1:12" hidden="1" x14ac:dyDescent="0.25">
      <c r="A103" s="12">
        <v>44</v>
      </c>
      <c r="B103" s="12" t="s">
        <v>148</v>
      </c>
      <c r="C103" s="12">
        <v>20</v>
      </c>
      <c r="D103" s="12" t="s">
        <v>149</v>
      </c>
      <c r="E103" s="12">
        <v>2</v>
      </c>
      <c r="F103" s="12" t="s">
        <v>86</v>
      </c>
      <c r="G103" s="12" t="s">
        <v>150</v>
      </c>
      <c r="H103" s="12">
        <v>19.45</v>
      </c>
      <c r="I103" s="12">
        <v>27</v>
      </c>
      <c r="J103" s="12">
        <v>0</v>
      </c>
      <c r="K103" s="12">
        <v>15</v>
      </c>
      <c r="L103" s="12" t="b">
        <v>0</v>
      </c>
    </row>
    <row r="104" spans="1:12" hidden="1" x14ac:dyDescent="0.25">
      <c r="A104" s="12">
        <v>60</v>
      </c>
      <c r="B104" s="12" t="s">
        <v>151</v>
      </c>
      <c r="C104" s="12">
        <v>28</v>
      </c>
      <c r="D104" s="12" t="s">
        <v>67</v>
      </c>
      <c r="E104" s="12">
        <v>4</v>
      </c>
      <c r="F104" s="12" t="s">
        <v>54</v>
      </c>
      <c r="G104" s="12" t="s">
        <v>152</v>
      </c>
      <c r="H104" s="12">
        <v>34</v>
      </c>
      <c r="I104" s="12">
        <v>19</v>
      </c>
      <c r="J104" s="12">
        <v>0</v>
      </c>
      <c r="K104" s="12">
        <v>0</v>
      </c>
      <c r="L104" s="12" t="b">
        <v>0</v>
      </c>
    </row>
    <row r="105" spans="1:12" hidden="1" x14ac:dyDescent="0.25">
      <c r="A105" s="12">
        <v>37</v>
      </c>
      <c r="B105" s="12" t="s">
        <v>153</v>
      </c>
      <c r="C105" s="12">
        <v>17</v>
      </c>
      <c r="D105" s="12" t="s">
        <v>112</v>
      </c>
      <c r="E105" s="12">
        <v>8</v>
      </c>
      <c r="F105" s="12" t="s">
        <v>70</v>
      </c>
      <c r="G105" s="12" t="s">
        <v>154</v>
      </c>
      <c r="H105" s="12">
        <v>26</v>
      </c>
      <c r="I105" s="12">
        <v>11</v>
      </c>
      <c r="J105" s="12">
        <v>50</v>
      </c>
      <c r="K105" s="12">
        <v>25</v>
      </c>
      <c r="L105" s="12" t="b">
        <v>0</v>
      </c>
    </row>
    <row r="106" spans="1:12" hidden="1" x14ac:dyDescent="0.25">
      <c r="A106" s="12">
        <v>49</v>
      </c>
      <c r="B106" s="12" t="s">
        <v>155</v>
      </c>
      <c r="C106" s="12">
        <v>23</v>
      </c>
      <c r="D106" s="12" t="s">
        <v>135</v>
      </c>
      <c r="E106" s="12">
        <v>3</v>
      </c>
      <c r="F106" s="12" t="s">
        <v>46</v>
      </c>
      <c r="G106" s="12" t="s">
        <v>156</v>
      </c>
      <c r="H106" s="12">
        <v>20</v>
      </c>
      <c r="I106" s="12">
        <v>10</v>
      </c>
      <c r="J106" s="12">
        <v>60</v>
      </c>
      <c r="K106" s="12">
        <v>15</v>
      </c>
      <c r="L106" s="12" t="b">
        <v>0</v>
      </c>
    </row>
    <row r="107" spans="1:12" hidden="1" x14ac:dyDescent="0.25">
      <c r="A107" s="12">
        <v>51</v>
      </c>
      <c r="B107" s="12" t="s">
        <v>157</v>
      </c>
      <c r="C107" s="12">
        <v>24</v>
      </c>
      <c r="D107" s="12" t="s">
        <v>142</v>
      </c>
      <c r="E107" s="12">
        <v>7</v>
      </c>
      <c r="F107" s="12" t="s">
        <v>61</v>
      </c>
      <c r="G107" s="12" t="s">
        <v>158</v>
      </c>
      <c r="H107" s="12">
        <v>53</v>
      </c>
      <c r="I107" s="12">
        <v>20</v>
      </c>
      <c r="J107" s="12">
        <v>0</v>
      </c>
      <c r="K107" s="12">
        <v>10</v>
      </c>
      <c r="L107" s="12" t="b">
        <v>0</v>
      </c>
    </row>
    <row r="108" spans="1:12" hidden="1" x14ac:dyDescent="0.25">
      <c r="A108" s="12">
        <v>54</v>
      </c>
      <c r="B108" s="12" t="s">
        <v>159</v>
      </c>
      <c r="C108" s="12">
        <v>25</v>
      </c>
      <c r="D108" s="12" t="s">
        <v>160</v>
      </c>
      <c r="E108" s="12">
        <v>6</v>
      </c>
      <c r="F108" s="12" t="s">
        <v>125</v>
      </c>
      <c r="G108" s="12" t="s">
        <v>161</v>
      </c>
      <c r="H108" s="12">
        <v>7.45</v>
      </c>
      <c r="I108" s="12">
        <v>21</v>
      </c>
      <c r="J108" s="12">
        <v>0</v>
      </c>
      <c r="K108" s="12">
        <v>10</v>
      </c>
      <c r="L108" s="12" t="b">
        <v>0</v>
      </c>
    </row>
    <row r="109" spans="1:12" hidden="1" x14ac:dyDescent="0.25">
      <c r="A109" s="12">
        <v>62</v>
      </c>
      <c r="B109" s="12" t="s">
        <v>162</v>
      </c>
      <c r="C109" s="12">
        <v>29</v>
      </c>
      <c r="D109" s="12" t="s">
        <v>163</v>
      </c>
      <c r="E109" s="12">
        <v>3</v>
      </c>
      <c r="F109" s="12" t="s">
        <v>46</v>
      </c>
      <c r="G109" s="12" t="s">
        <v>164</v>
      </c>
      <c r="H109" s="12">
        <v>49.3</v>
      </c>
      <c r="I109" s="12">
        <v>17</v>
      </c>
      <c r="J109" s="12">
        <v>0</v>
      </c>
      <c r="K109" s="12">
        <v>0</v>
      </c>
      <c r="L109" s="12" t="b">
        <v>0</v>
      </c>
    </row>
    <row r="110" spans="1:12" hidden="1" x14ac:dyDescent="0.25">
      <c r="A110" s="12">
        <v>42</v>
      </c>
      <c r="B110" s="12" t="s">
        <v>165</v>
      </c>
      <c r="C110" s="12">
        <v>20</v>
      </c>
      <c r="D110" s="12" t="s">
        <v>149</v>
      </c>
      <c r="E110" s="12">
        <v>5</v>
      </c>
      <c r="F110" s="12" t="s">
        <v>74</v>
      </c>
      <c r="G110" s="12" t="s">
        <v>166</v>
      </c>
      <c r="H110" s="12">
        <v>14</v>
      </c>
      <c r="I110" s="12">
        <v>26</v>
      </c>
      <c r="J110" s="12">
        <v>0</v>
      </c>
      <c r="K110" s="12">
        <v>0</v>
      </c>
      <c r="L110" s="12" t="b">
        <v>1</v>
      </c>
    </row>
    <row r="111" spans="1:12" x14ac:dyDescent="0.25">
      <c r="A111" s="12">
        <v>70</v>
      </c>
      <c r="B111" s="12" t="s">
        <v>167</v>
      </c>
      <c r="C111" s="12">
        <v>7</v>
      </c>
      <c r="D111" s="12" t="s">
        <v>45</v>
      </c>
      <c r="E111" s="12">
        <v>1</v>
      </c>
      <c r="F111" s="12" t="s">
        <v>50</v>
      </c>
      <c r="G111" s="12" t="s">
        <v>168</v>
      </c>
      <c r="H111" s="12">
        <v>15</v>
      </c>
      <c r="I111" s="12">
        <v>15</v>
      </c>
      <c r="J111" s="12">
        <v>10</v>
      </c>
      <c r="K111" s="12">
        <v>30</v>
      </c>
      <c r="L111" s="12" t="b">
        <v>0</v>
      </c>
    </row>
    <row r="112" spans="1:12" hidden="1" x14ac:dyDescent="0.25">
      <c r="A112" s="12">
        <v>5</v>
      </c>
      <c r="B112" s="12" t="s">
        <v>169</v>
      </c>
      <c r="C112" s="12">
        <v>2</v>
      </c>
      <c r="D112" s="12" t="s">
        <v>119</v>
      </c>
      <c r="E112" s="12">
        <v>2</v>
      </c>
      <c r="F112" s="12" t="s">
        <v>86</v>
      </c>
      <c r="G112" s="12" t="s">
        <v>170</v>
      </c>
      <c r="H112" s="12">
        <v>21.35</v>
      </c>
      <c r="I112" s="12">
        <v>0</v>
      </c>
      <c r="J112" s="12">
        <v>0</v>
      </c>
      <c r="K112" s="12">
        <v>0</v>
      </c>
      <c r="L112" s="12" t="b">
        <v>1</v>
      </c>
    </row>
    <row r="113" spans="1:12" hidden="1" x14ac:dyDescent="0.25">
      <c r="A113" s="12">
        <v>55</v>
      </c>
      <c r="B113" s="12" t="s">
        <v>171</v>
      </c>
      <c r="C113" s="12">
        <v>25</v>
      </c>
      <c r="D113" s="12" t="s">
        <v>160</v>
      </c>
      <c r="E113" s="12">
        <v>6</v>
      </c>
      <c r="F113" s="12" t="s">
        <v>125</v>
      </c>
      <c r="G113" s="12" t="s">
        <v>172</v>
      </c>
      <c r="H113" s="12">
        <v>24</v>
      </c>
      <c r="I113" s="12">
        <v>115</v>
      </c>
      <c r="J113" s="12">
        <v>0</v>
      </c>
      <c r="K113" s="12">
        <v>20</v>
      </c>
      <c r="L113" s="12" t="b">
        <v>0</v>
      </c>
    </row>
    <row r="114" spans="1:12" hidden="1" x14ac:dyDescent="0.25">
      <c r="A114" s="12">
        <v>14</v>
      </c>
      <c r="B114" s="12" t="s">
        <v>173</v>
      </c>
      <c r="C114" s="12">
        <v>6</v>
      </c>
      <c r="D114" s="12" t="s">
        <v>128</v>
      </c>
      <c r="E114" s="12">
        <v>7</v>
      </c>
      <c r="F114" s="12" t="s">
        <v>61</v>
      </c>
      <c r="G114" s="12" t="s">
        <v>174</v>
      </c>
      <c r="H114" s="12">
        <v>23.25</v>
      </c>
      <c r="I114" s="12">
        <v>35</v>
      </c>
      <c r="J114" s="12">
        <v>0</v>
      </c>
      <c r="K114" s="12">
        <v>0</v>
      </c>
      <c r="L114" s="12" t="b">
        <v>0</v>
      </c>
    </row>
    <row r="115" spans="1:12" hidden="1" x14ac:dyDescent="0.25">
      <c r="A115" s="12">
        <v>40</v>
      </c>
      <c r="B115" s="12" t="s">
        <v>175</v>
      </c>
      <c r="C115" s="12">
        <v>19</v>
      </c>
      <c r="D115" s="12" t="s">
        <v>122</v>
      </c>
      <c r="E115" s="12">
        <v>8</v>
      </c>
      <c r="F115" s="12" t="s">
        <v>70</v>
      </c>
      <c r="G115" s="12" t="s">
        <v>176</v>
      </c>
      <c r="H115" s="12">
        <v>18.399999999999999</v>
      </c>
      <c r="I115" s="12">
        <v>123</v>
      </c>
      <c r="J115" s="12">
        <v>0</v>
      </c>
      <c r="K115" s="12">
        <v>30</v>
      </c>
      <c r="L115" s="12" t="b">
        <v>0</v>
      </c>
    </row>
    <row r="116" spans="1:12" hidden="1" x14ac:dyDescent="0.25">
      <c r="A116" s="12">
        <v>1</v>
      </c>
      <c r="B116" s="12" t="s">
        <v>177</v>
      </c>
      <c r="C116" s="12">
        <v>1</v>
      </c>
      <c r="D116" s="12" t="s">
        <v>145</v>
      </c>
      <c r="E116" s="12">
        <v>1</v>
      </c>
      <c r="F116" s="12" t="s">
        <v>50</v>
      </c>
      <c r="G116" s="12" t="s">
        <v>178</v>
      </c>
      <c r="H116" s="12">
        <v>18</v>
      </c>
      <c r="I116" s="12">
        <v>39</v>
      </c>
      <c r="J116" s="12">
        <v>0</v>
      </c>
      <c r="K116" s="12">
        <v>10</v>
      </c>
      <c r="L116" s="12" t="b">
        <v>0</v>
      </c>
    </row>
    <row r="117" spans="1:12" hidden="1" x14ac:dyDescent="0.25">
      <c r="A117" s="12">
        <v>66</v>
      </c>
      <c r="B117" s="12" t="s">
        <v>179</v>
      </c>
      <c r="C117" s="12">
        <v>2</v>
      </c>
      <c r="D117" s="12" t="s">
        <v>119</v>
      </c>
      <c r="E117" s="12">
        <v>2</v>
      </c>
      <c r="F117" s="12" t="s">
        <v>86</v>
      </c>
      <c r="G117" s="12" t="s">
        <v>180</v>
      </c>
      <c r="H117" s="12">
        <v>17</v>
      </c>
      <c r="I117" s="12">
        <v>4</v>
      </c>
      <c r="J117" s="12">
        <v>100</v>
      </c>
      <c r="K117" s="12">
        <v>20</v>
      </c>
      <c r="L117" s="12" t="b">
        <v>0</v>
      </c>
    </row>
    <row r="118" spans="1:12" hidden="1" x14ac:dyDescent="0.25">
      <c r="A118" s="12">
        <v>15</v>
      </c>
      <c r="B118" s="12" t="s">
        <v>181</v>
      </c>
      <c r="C118" s="12">
        <v>6</v>
      </c>
      <c r="D118" s="12" t="s">
        <v>128</v>
      </c>
      <c r="E118" s="12">
        <v>2</v>
      </c>
      <c r="F118" s="12" t="s">
        <v>86</v>
      </c>
      <c r="G118" s="12" t="s">
        <v>182</v>
      </c>
      <c r="H118" s="12">
        <v>15.5</v>
      </c>
      <c r="I118" s="12">
        <v>39</v>
      </c>
      <c r="J118" s="12">
        <v>0</v>
      </c>
      <c r="K118" s="12">
        <v>5</v>
      </c>
      <c r="L118" s="12" t="b">
        <v>0</v>
      </c>
    </row>
    <row r="119" spans="1:12" hidden="1" x14ac:dyDescent="0.25">
      <c r="A119" s="12">
        <v>19</v>
      </c>
      <c r="B119" s="12" t="s">
        <v>183</v>
      </c>
      <c r="C119" s="12">
        <v>8</v>
      </c>
      <c r="D119" s="12" t="s">
        <v>92</v>
      </c>
      <c r="E119" s="12">
        <v>3</v>
      </c>
      <c r="F119" s="12" t="s">
        <v>46</v>
      </c>
      <c r="G119" s="12" t="s">
        <v>184</v>
      </c>
      <c r="H119" s="12">
        <v>9.1999999999999993</v>
      </c>
      <c r="I119" s="12">
        <v>25</v>
      </c>
      <c r="J119" s="12">
        <v>0</v>
      </c>
      <c r="K119" s="12">
        <v>5</v>
      </c>
      <c r="L119" s="12" t="b">
        <v>0</v>
      </c>
    </row>
    <row r="120" spans="1:12" hidden="1" x14ac:dyDescent="0.25">
      <c r="A120" s="12">
        <v>72</v>
      </c>
      <c r="B120" s="12" t="s">
        <v>185</v>
      </c>
      <c r="C120" s="12">
        <v>14</v>
      </c>
      <c r="D120" s="12" t="s">
        <v>186</v>
      </c>
      <c r="E120" s="12">
        <v>4</v>
      </c>
      <c r="F120" s="12" t="s">
        <v>54</v>
      </c>
      <c r="G120" s="12" t="s">
        <v>187</v>
      </c>
      <c r="H120" s="12">
        <v>34.799999999999997</v>
      </c>
      <c r="I120" s="12">
        <v>14</v>
      </c>
      <c r="J120" s="12">
        <v>0</v>
      </c>
      <c r="K120" s="12">
        <v>0</v>
      </c>
      <c r="L120" s="12" t="b">
        <v>0</v>
      </c>
    </row>
    <row r="121" spans="1:12" hidden="1" x14ac:dyDescent="0.25">
      <c r="A121" s="12">
        <v>23</v>
      </c>
      <c r="B121" s="12" t="s">
        <v>188</v>
      </c>
      <c r="C121" s="12">
        <v>9</v>
      </c>
      <c r="D121" s="12" t="s">
        <v>189</v>
      </c>
      <c r="E121" s="12">
        <v>5</v>
      </c>
      <c r="F121" s="12" t="s">
        <v>74</v>
      </c>
      <c r="G121" s="12" t="s">
        <v>190</v>
      </c>
      <c r="H121" s="12">
        <v>9</v>
      </c>
      <c r="I121" s="12">
        <v>61</v>
      </c>
      <c r="J121" s="12">
        <v>0</v>
      </c>
      <c r="K121" s="12">
        <v>25</v>
      </c>
      <c r="L121" s="12" t="b">
        <v>0</v>
      </c>
    </row>
    <row r="122" spans="1:12" hidden="1" x14ac:dyDescent="0.25">
      <c r="A122" s="12">
        <v>22</v>
      </c>
      <c r="B122" s="12" t="s">
        <v>191</v>
      </c>
      <c r="C122" s="12">
        <v>9</v>
      </c>
      <c r="D122" s="12" t="s">
        <v>189</v>
      </c>
      <c r="E122" s="12">
        <v>5</v>
      </c>
      <c r="F122" s="12" t="s">
        <v>74</v>
      </c>
      <c r="G122" s="12" t="s">
        <v>192</v>
      </c>
      <c r="H122" s="12">
        <v>21</v>
      </c>
      <c r="I122" s="12">
        <v>104</v>
      </c>
      <c r="J122" s="12">
        <v>0</v>
      </c>
      <c r="K122" s="12">
        <v>25</v>
      </c>
      <c r="L122" s="12" t="b">
        <v>0</v>
      </c>
    </row>
    <row r="123" spans="1:12" hidden="1" x14ac:dyDescent="0.25">
      <c r="A123" s="12">
        <v>71</v>
      </c>
      <c r="B123" s="12" t="s">
        <v>193</v>
      </c>
      <c r="C123" s="12">
        <v>15</v>
      </c>
      <c r="D123" s="12" t="s">
        <v>89</v>
      </c>
      <c r="E123" s="12">
        <v>4</v>
      </c>
      <c r="F123" s="12" t="s">
        <v>54</v>
      </c>
      <c r="G123" s="12" t="s">
        <v>55</v>
      </c>
      <c r="H123" s="12">
        <v>21.5</v>
      </c>
      <c r="I123" s="12">
        <v>26</v>
      </c>
      <c r="J123" s="12">
        <v>0</v>
      </c>
      <c r="K123" s="12">
        <v>0</v>
      </c>
      <c r="L123" s="12" t="b">
        <v>0</v>
      </c>
    </row>
    <row r="124" spans="1:12" hidden="1" x14ac:dyDescent="0.25">
      <c r="A124" s="12">
        <v>73</v>
      </c>
      <c r="B124" s="12" t="s">
        <v>194</v>
      </c>
      <c r="C124" s="12">
        <v>17</v>
      </c>
      <c r="D124" s="12" t="s">
        <v>112</v>
      </c>
      <c r="E124" s="12">
        <v>8</v>
      </c>
      <c r="F124" s="12" t="s">
        <v>70</v>
      </c>
      <c r="G124" s="12" t="s">
        <v>195</v>
      </c>
      <c r="H124" s="12">
        <v>15</v>
      </c>
      <c r="I124" s="12">
        <v>101</v>
      </c>
      <c r="J124" s="12">
        <v>0</v>
      </c>
      <c r="K124" s="12">
        <v>5</v>
      </c>
      <c r="L124" s="12" t="b">
        <v>0</v>
      </c>
    </row>
    <row r="125" spans="1:12" hidden="1" x14ac:dyDescent="0.25">
      <c r="A125" s="12">
        <v>31</v>
      </c>
      <c r="B125" s="12" t="s">
        <v>196</v>
      </c>
      <c r="C125" s="12">
        <v>14</v>
      </c>
      <c r="D125" s="12" t="s">
        <v>186</v>
      </c>
      <c r="E125" s="12">
        <v>4</v>
      </c>
      <c r="F125" s="12" t="s">
        <v>54</v>
      </c>
      <c r="G125" s="12" t="s">
        <v>197</v>
      </c>
      <c r="H125" s="12">
        <v>12.5</v>
      </c>
      <c r="I125" s="12">
        <v>0</v>
      </c>
      <c r="J125" s="12">
        <v>70</v>
      </c>
      <c r="K125" s="12">
        <v>20</v>
      </c>
      <c r="L125" s="12" t="b">
        <v>0</v>
      </c>
    </row>
    <row r="126" spans="1:12" hidden="1" x14ac:dyDescent="0.25">
      <c r="A126" s="12">
        <v>58</v>
      </c>
      <c r="B126" s="12" t="s">
        <v>198</v>
      </c>
      <c r="C126" s="12">
        <v>27</v>
      </c>
      <c r="D126" s="12" t="s">
        <v>199</v>
      </c>
      <c r="E126" s="12">
        <v>8</v>
      </c>
      <c r="F126" s="12" t="s">
        <v>70</v>
      </c>
      <c r="G126" s="12" t="s">
        <v>200</v>
      </c>
      <c r="H126" s="12">
        <v>13.25</v>
      </c>
      <c r="I126" s="12">
        <v>62</v>
      </c>
      <c r="J126" s="12">
        <v>0</v>
      </c>
      <c r="K126" s="12">
        <v>20</v>
      </c>
      <c r="L126" s="12" t="b">
        <v>0</v>
      </c>
    </row>
    <row r="127" spans="1:12" hidden="1" x14ac:dyDescent="0.25">
      <c r="A127" s="12">
        <v>76</v>
      </c>
      <c r="B127" s="12" t="s">
        <v>201</v>
      </c>
      <c r="C127" s="12">
        <v>23</v>
      </c>
      <c r="D127" s="12" t="s">
        <v>135</v>
      </c>
      <c r="E127" s="12">
        <v>1</v>
      </c>
      <c r="F127" s="12" t="s">
        <v>50</v>
      </c>
      <c r="G127" s="12" t="s">
        <v>202</v>
      </c>
      <c r="H127" s="12">
        <v>18</v>
      </c>
      <c r="I127" s="12">
        <v>57</v>
      </c>
      <c r="J127" s="12">
        <v>0</v>
      </c>
      <c r="K127" s="12">
        <v>20</v>
      </c>
      <c r="L127" s="12" t="b">
        <v>0</v>
      </c>
    </row>
    <row r="128" spans="1:12" hidden="1" x14ac:dyDescent="0.25">
      <c r="A128" s="12">
        <v>32</v>
      </c>
      <c r="B128" s="12" t="s">
        <v>203</v>
      </c>
      <c r="C128" s="12">
        <v>14</v>
      </c>
      <c r="D128" s="12" t="s">
        <v>186</v>
      </c>
      <c r="E128" s="12">
        <v>4</v>
      </c>
      <c r="F128" s="12" t="s">
        <v>54</v>
      </c>
      <c r="G128" s="12" t="s">
        <v>187</v>
      </c>
      <c r="H128" s="12">
        <v>32</v>
      </c>
      <c r="I128" s="12">
        <v>9</v>
      </c>
      <c r="J128" s="12">
        <v>40</v>
      </c>
      <c r="K128" s="12">
        <v>25</v>
      </c>
      <c r="L128" s="12" t="b">
        <v>0</v>
      </c>
    </row>
    <row r="129" spans="1:12" hidden="1" x14ac:dyDescent="0.25">
      <c r="A129" s="12">
        <v>34</v>
      </c>
      <c r="B129" s="12" t="s">
        <v>204</v>
      </c>
      <c r="C129" s="12">
        <v>16</v>
      </c>
      <c r="D129" s="12" t="s">
        <v>57</v>
      </c>
      <c r="E129" s="12">
        <v>1</v>
      </c>
      <c r="F129" s="12" t="s">
        <v>50</v>
      </c>
      <c r="G129" s="12" t="s">
        <v>58</v>
      </c>
      <c r="H129" s="12">
        <v>14</v>
      </c>
      <c r="I129" s="12">
        <v>111</v>
      </c>
      <c r="J129" s="12">
        <v>0</v>
      </c>
      <c r="K129" s="12">
        <v>15</v>
      </c>
      <c r="L129" s="12" t="b">
        <v>0</v>
      </c>
    </row>
    <row r="130" spans="1:12" hidden="1" x14ac:dyDescent="0.25">
      <c r="A130" s="12">
        <v>20</v>
      </c>
      <c r="B130" s="12" t="s">
        <v>205</v>
      </c>
      <c r="C130" s="12">
        <v>8</v>
      </c>
      <c r="D130" s="12" t="s">
        <v>92</v>
      </c>
      <c r="E130" s="12">
        <v>3</v>
      </c>
      <c r="F130" s="12" t="s">
        <v>46</v>
      </c>
      <c r="G130" s="12" t="s">
        <v>206</v>
      </c>
      <c r="H130" s="12">
        <v>81</v>
      </c>
      <c r="I130" s="12">
        <v>40</v>
      </c>
      <c r="J130" s="12">
        <v>0</v>
      </c>
      <c r="K130" s="12">
        <v>0</v>
      </c>
      <c r="L130" s="12" t="b">
        <v>0</v>
      </c>
    </row>
    <row r="131" spans="1:12" hidden="1" x14ac:dyDescent="0.25">
      <c r="A131" s="12">
        <v>61</v>
      </c>
      <c r="B131" s="12" t="s">
        <v>207</v>
      </c>
      <c r="C131" s="12">
        <v>29</v>
      </c>
      <c r="D131" s="12" t="s">
        <v>163</v>
      </c>
      <c r="E131" s="12">
        <v>2</v>
      </c>
      <c r="F131" s="12" t="s">
        <v>86</v>
      </c>
      <c r="G131" s="12" t="s">
        <v>208</v>
      </c>
      <c r="H131" s="12">
        <v>28.5</v>
      </c>
      <c r="I131" s="12">
        <v>113</v>
      </c>
      <c r="J131" s="12">
        <v>0</v>
      </c>
      <c r="K131" s="12">
        <v>25</v>
      </c>
      <c r="L131" s="12" t="b">
        <v>0</v>
      </c>
    </row>
    <row r="132" spans="1:12" hidden="1" x14ac:dyDescent="0.25">
      <c r="A132" s="12">
        <v>43</v>
      </c>
      <c r="B132" s="12" t="s">
        <v>209</v>
      </c>
      <c r="C132" s="12">
        <v>20</v>
      </c>
      <c r="D132" s="12" t="s">
        <v>149</v>
      </c>
      <c r="E132" s="12">
        <v>1</v>
      </c>
      <c r="F132" s="12" t="s">
        <v>50</v>
      </c>
      <c r="G132" s="12" t="s">
        <v>210</v>
      </c>
      <c r="H132" s="12">
        <v>46</v>
      </c>
      <c r="I132" s="12">
        <v>17</v>
      </c>
      <c r="J132" s="12">
        <v>10</v>
      </c>
      <c r="K132" s="12">
        <v>25</v>
      </c>
      <c r="L132" s="12" t="b">
        <v>0</v>
      </c>
    </row>
    <row r="133" spans="1:12" hidden="1" x14ac:dyDescent="0.25">
      <c r="A133" s="12">
        <v>53</v>
      </c>
      <c r="B133" s="12" t="s">
        <v>211</v>
      </c>
      <c r="C133" s="12">
        <v>24</v>
      </c>
      <c r="D133" s="12" t="s">
        <v>142</v>
      </c>
      <c r="E133" s="12">
        <v>6</v>
      </c>
      <c r="F133" s="12" t="s">
        <v>125</v>
      </c>
      <c r="G133" s="12" t="s">
        <v>212</v>
      </c>
      <c r="H133" s="12">
        <v>32.799999999999997</v>
      </c>
      <c r="I133" s="12">
        <v>0</v>
      </c>
      <c r="J133" s="12">
        <v>0</v>
      </c>
      <c r="K133" s="12">
        <v>0</v>
      </c>
      <c r="L133" s="12" t="b">
        <v>1</v>
      </c>
    </row>
    <row r="134" spans="1:12" hidden="1" x14ac:dyDescent="0.25">
      <c r="A134" s="12">
        <v>29</v>
      </c>
      <c r="B134" s="12" t="s">
        <v>213</v>
      </c>
      <c r="C134" s="12">
        <v>12</v>
      </c>
      <c r="D134" s="12" t="s">
        <v>60</v>
      </c>
      <c r="E134" s="12">
        <v>6</v>
      </c>
      <c r="F134" s="12" t="s">
        <v>125</v>
      </c>
      <c r="G134" s="12" t="s">
        <v>214</v>
      </c>
      <c r="H134" s="12">
        <v>123.79</v>
      </c>
      <c r="I134" s="12">
        <v>0</v>
      </c>
      <c r="J134" s="12">
        <v>0</v>
      </c>
      <c r="K134" s="12">
        <v>0</v>
      </c>
      <c r="L134" s="12" t="b">
        <v>1</v>
      </c>
    </row>
    <row r="135" spans="1:12" hidden="1" x14ac:dyDescent="0.25">
      <c r="A135" s="12">
        <v>10</v>
      </c>
      <c r="B135" s="12" t="s">
        <v>215</v>
      </c>
      <c r="C135" s="12">
        <v>4</v>
      </c>
      <c r="D135" s="12" t="s">
        <v>108</v>
      </c>
      <c r="E135" s="12">
        <v>8</v>
      </c>
      <c r="F135" s="12" t="s">
        <v>70</v>
      </c>
      <c r="G135" s="12" t="s">
        <v>216</v>
      </c>
      <c r="H135" s="12">
        <v>31</v>
      </c>
      <c r="I135" s="12">
        <v>31</v>
      </c>
      <c r="J135" s="12">
        <v>0</v>
      </c>
      <c r="K135" s="12">
        <v>0</v>
      </c>
      <c r="L135" s="12" t="b">
        <v>0</v>
      </c>
    </row>
    <row r="136" spans="1:12" hidden="1" x14ac:dyDescent="0.25">
      <c r="A136" s="12">
        <v>9</v>
      </c>
      <c r="B136" s="12" t="s">
        <v>217</v>
      </c>
      <c r="C136" s="12">
        <v>4</v>
      </c>
      <c r="D136" s="12" t="s">
        <v>108</v>
      </c>
      <c r="E136" s="12">
        <v>6</v>
      </c>
      <c r="F136" s="12" t="s">
        <v>125</v>
      </c>
      <c r="G136" s="12" t="s">
        <v>218</v>
      </c>
      <c r="H136" s="12">
        <v>97</v>
      </c>
      <c r="I136" s="12">
        <v>29</v>
      </c>
      <c r="J136" s="12">
        <v>0</v>
      </c>
      <c r="K136" s="12">
        <v>0</v>
      </c>
      <c r="L136" s="12" t="b">
        <v>1</v>
      </c>
    </row>
    <row r="137" spans="1:12" hidden="1" x14ac:dyDescent="0.25">
      <c r="A137" s="12">
        <v>3</v>
      </c>
      <c r="B137" s="12" t="s">
        <v>219</v>
      </c>
      <c r="C137" s="12">
        <v>1</v>
      </c>
      <c r="D137" s="12" t="s">
        <v>145</v>
      </c>
      <c r="E137" s="12">
        <v>2</v>
      </c>
      <c r="F137" s="12" t="s">
        <v>86</v>
      </c>
      <c r="G137" s="12" t="s">
        <v>220</v>
      </c>
      <c r="H137" s="12">
        <v>10</v>
      </c>
      <c r="I137" s="12">
        <v>13</v>
      </c>
      <c r="J137" s="12">
        <v>70</v>
      </c>
      <c r="K137" s="12">
        <v>25</v>
      </c>
      <c r="L137" s="12" t="b">
        <v>0</v>
      </c>
    </row>
    <row r="138" spans="1:12" hidden="1" x14ac:dyDescent="0.25">
      <c r="A138" s="12">
        <v>45</v>
      </c>
      <c r="B138" s="12" t="s">
        <v>221</v>
      </c>
      <c r="C138" s="12">
        <v>21</v>
      </c>
      <c r="D138" s="12" t="s">
        <v>102</v>
      </c>
      <c r="E138" s="12">
        <v>8</v>
      </c>
      <c r="F138" s="12" t="s">
        <v>70</v>
      </c>
      <c r="G138" s="12" t="s">
        <v>222</v>
      </c>
      <c r="H138" s="12">
        <v>9.5</v>
      </c>
      <c r="I138" s="12">
        <v>5</v>
      </c>
      <c r="J138" s="12">
        <v>70</v>
      </c>
      <c r="K138" s="12">
        <v>15</v>
      </c>
      <c r="L138" s="12" t="b">
        <v>0</v>
      </c>
    </row>
    <row r="139" spans="1:12" hidden="1" x14ac:dyDescent="0.25">
      <c r="A139" s="12">
        <v>21</v>
      </c>
      <c r="B139" s="12" t="s">
        <v>223</v>
      </c>
      <c r="C139" s="12">
        <v>8</v>
      </c>
      <c r="D139" s="12" t="s">
        <v>92</v>
      </c>
      <c r="E139" s="12">
        <v>3</v>
      </c>
      <c r="F139" s="12" t="s">
        <v>46</v>
      </c>
      <c r="G139" s="12" t="s">
        <v>224</v>
      </c>
      <c r="H139" s="12">
        <v>10</v>
      </c>
      <c r="I139" s="12">
        <v>3</v>
      </c>
      <c r="J139" s="12">
        <v>40</v>
      </c>
      <c r="K139" s="12">
        <v>5</v>
      </c>
      <c r="L139" s="12" t="b">
        <v>0</v>
      </c>
    </row>
    <row r="140" spans="1:12" hidden="1" x14ac:dyDescent="0.25">
      <c r="A140" s="12">
        <v>48</v>
      </c>
      <c r="B140" s="12" t="s">
        <v>225</v>
      </c>
      <c r="C140" s="12">
        <v>22</v>
      </c>
      <c r="D140" s="12" t="s">
        <v>95</v>
      </c>
      <c r="E140" s="12">
        <v>3</v>
      </c>
      <c r="F140" s="12" t="s">
        <v>46</v>
      </c>
      <c r="G140" s="12" t="s">
        <v>226</v>
      </c>
      <c r="H140" s="12">
        <v>12.75</v>
      </c>
      <c r="I140" s="12">
        <v>15</v>
      </c>
      <c r="J140" s="12">
        <v>70</v>
      </c>
      <c r="K140" s="12">
        <v>25</v>
      </c>
      <c r="L140" s="12" t="b">
        <v>0</v>
      </c>
    </row>
    <row r="141" spans="1:12" hidden="1" x14ac:dyDescent="0.25">
      <c r="A141" s="12">
        <v>56</v>
      </c>
      <c r="B141" s="12" t="s">
        <v>227</v>
      </c>
      <c r="C141" s="12">
        <v>26</v>
      </c>
      <c r="D141" s="12" t="s">
        <v>73</v>
      </c>
      <c r="E141" s="12">
        <v>5</v>
      </c>
      <c r="F141" s="12" t="s">
        <v>74</v>
      </c>
      <c r="G141" s="12" t="s">
        <v>75</v>
      </c>
      <c r="H141" s="12">
        <v>38</v>
      </c>
      <c r="I141" s="12">
        <v>21</v>
      </c>
      <c r="J141" s="12">
        <v>10</v>
      </c>
      <c r="K141" s="12">
        <v>30</v>
      </c>
      <c r="L141" s="12" t="b">
        <v>0</v>
      </c>
    </row>
    <row r="142" spans="1:12" x14ac:dyDescent="0.25">
      <c r="A142" s="12">
        <f>SUBTOTAL(109,Tabla4[Id Producto])</f>
        <v>184</v>
      </c>
      <c r="B142" s="12">
        <f>SUBTOTAL(109,Tabla4[Nombre Producto])</f>
        <v>0</v>
      </c>
      <c r="C142" s="12"/>
      <c r="D142" s="12"/>
      <c r="E142" s="12"/>
      <c r="F142" s="12">
        <f>SUBTOTAL(109,Tabla4[Nombre Categoria])</f>
        <v>0</v>
      </c>
      <c r="G142" s="12"/>
      <c r="H142" s="12"/>
      <c r="I142" s="12">
        <f>SUBTOTAL(109,Tabla4[Unidades En Existencia])</f>
        <v>110</v>
      </c>
      <c r="J142" s="12"/>
      <c r="K142" s="12"/>
      <c r="L142" s="12">
        <f>SUBTOTAL(103,Tabla4[Suspendido])</f>
        <v>5</v>
      </c>
    </row>
  </sheetData>
  <mergeCells count="54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C51:D51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A32:A43">
    <cfRule type="cellIs" dxfId="31" priority="7" operator="lessThan">
      <formula>50</formula>
    </cfRule>
  </conditionalFormatting>
  <conditionalFormatting sqref="B32:B43">
    <cfRule type="containsText" dxfId="30" priority="6" stopIfTrue="1" operator="containsText" text="Armando">
      <formula>NOT(ISERROR(SEARCH("Armando",B32)))</formula>
    </cfRule>
    <cfRule type="containsText" dxfId="29" priority="5" stopIfTrue="1" operator="containsText" text="Leticia">
      <formula>NOT(ISERROR(SEARCH("Leticia",B32)))</formula>
    </cfRule>
    <cfRule type="containsText" dxfId="28" priority="4" stopIfTrue="1" operator="containsText" text="Pedro">
      <formula>NOT(ISERROR(SEARCH("Pedro",B32)))</formula>
    </cfRule>
  </conditionalFormatting>
  <conditionalFormatting sqref="C32:C43">
    <cfRule type="top10" dxfId="27" priority="3" rank="3"/>
  </conditionalFormatting>
  <conditionalFormatting sqref="D32:D43">
    <cfRule type="duplicateValues" dxfId="26" priority="2"/>
  </conditionalFormatting>
  <conditionalFormatting sqref="E32:E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{0C6C0105-6F42-42E0-A4BD-0BE05ADB1FF4}</x14:id>
        </ext>
      </extLst>
    </cfRule>
  </conditionalFormatting>
  <dataValidations count="5">
    <dataValidation type="decimal" operator="lessThan" allowBlank="1" showInputMessage="1" showErrorMessage="1" errorTitle="Error" error="El número esta fuera del rango permitido." promptTitle="Mensaje:" prompt="Solo permite numeros negativos con 2 decimales." sqref="C47">
      <formula1>0</formula1>
    </dataValidation>
    <dataValidation type="whole" operator="greaterThan" allowBlank="1" showInputMessage="1" showErrorMessage="1" errorTitle="Error" error="El número colocado esta fuera del rango permitido._x000a_" promptTitle="Mensaje:" prompt="Solo permite números enteros mayores a 100. " sqref="C48">
      <formula1>100</formula1>
    </dataValidation>
    <dataValidation type="date" operator="greaterThan" allowBlank="1" showInputMessage="1" showErrorMessage="1" errorTitle="Error:" error="La fecha ingresada es incorrecta, esta fecha no corresponde al año 2021." promptTitle="Mensaje:" prompt="Solo se permiten fechas del año 2021" sqref="C49">
      <formula1>44196</formula1>
    </dataValidation>
    <dataValidation type="whole" operator="notBetween" allowBlank="1" showInputMessage="1" showErrorMessage="1" errorTitle="Error:" error="El número ingresado esta fuera del rango." promptTitle="Mensaje:" prompt="La celda solo permite números que no esten entre 10 y 20." sqref="C50">
      <formula1>10</formula1>
      <formula2>20</formula2>
    </dataValidation>
    <dataValidation type="textLength" operator="equal" allowBlank="1" showInputMessage="1" showErrorMessage="1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6C0105-6F42-42E0-A4BD-0BE05ADB1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:" error="El país escrito no se encuentra dentro de la lista." promptTitle="Mensaje:" prompt="Solo se permiten los siguientes Paises listados: México, USA, Alemania, Brazil y Francia. ">
          <x14:formula1>
            <xm:f>Hoja1!$A$2:$A$6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>
      <selection activeCell="A2" sqref="A2:A6"/>
    </sheetView>
  </sheetViews>
  <sheetFormatPr baseColWidth="10" defaultRowHeight="15" x14ac:dyDescent="0.25"/>
  <sheetData>
    <row r="2" spans="1:1" x14ac:dyDescent="0.25">
      <c r="A2" t="s">
        <v>240</v>
      </c>
    </row>
    <row r="3" spans="1:1" x14ac:dyDescent="0.25">
      <c r="A3" t="s">
        <v>241</v>
      </c>
    </row>
    <row r="4" spans="1:1" x14ac:dyDescent="0.25">
      <c r="A4" t="s">
        <v>242</v>
      </c>
    </row>
    <row r="5" spans="1:1" x14ac:dyDescent="0.25">
      <c r="A5" t="s">
        <v>243</v>
      </c>
    </row>
    <row r="6" spans="1:1" x14ac:dyDescent="0.25">
      <c r="A6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>
        <v>16</v>
      </c>
      <c r="B2" t="s">
        <v>44</v>
      </c>
      <c r="C2">
        <v>7</v>
      </c>
      <c r="D2" t="s">
        <v>45</v>
      </c>
      <c r="E2">
        <v>3</v>
      </c>
      <c r="F2" t="s">
        <v>46</v>
      </c>
      <c r="G2" t="s">
        <v>47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48</v>
      </c>
      <c r="C3">
        <v>18</v>
      </c>
      <c r="D3" t="s">
        <v>49</v>
      </c>
      <c r="E3">
        <v>1</v>
      </c>
      <c r="F3" t="s">
        <v>50</v>
      </c>
      <c r="G3" t="s">
        <v>51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52</v>
      </c>
      <c r="C4">
        <v>5</v>
      </c>
      <c r="D4" t="s">
        <v>53</v>
      </c>
      <c r="E4">
        <v>4</v>
      </c>
      <c r="F4" t="s">
        <v>54</v>
      </c>
      <c r="G4" t="s">
        <v>55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56</v>
      </c>
      <c r="C5">
        <v>16</v>
      </c>
      <c r="D5" t="s">
        <v>57</v>
      </c>
      <c r="E5">
        <v>1</v>
      </c>
      <c r="F5" t="s">
        <v>50</v>
      </c>
      <c r="G5" t="s">
        <v>58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59</v>
      </c>
      <c r="C6">
        <v>12</v>
      </c>
      <c r="D6" t="s">
        <v>60</v>
      </c>
      <c r="E6">
        <v>7</v>
      </c>
      <c r="F6" t="s">
        <v>61</v>
      </c>
      <c r="G6" t="s">
        <v>62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63</v>
      </c>
      <c r="C7">
        <v>10</v>
      </c>
      <c r="D7" t="s">
        <v>64</v>
      </c>
      <c r="E7">
        <v>1</v>
      </c>
      <c r="F7" t="s">
        <v>50</v>
      </c>
      <c r="G7" t="s">
        <v>65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66</v>
      </c>
      <c r="C8">
        <v>28</v>
      </c>
      <c r="D8" t="s">
        <v>67</v>
      </c>
      <c r="E8">
        <v>4</v>
      </c>
      <c r="F8" t="s">
        <v>54</v>
      </c>
      <c r="G8" t="s">
        <v>68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69</v>
      </c>
      <c r="C9">
        <v>7</v>
      </c>
      <c r="D9" t="s">
        <v>45</v>
      </c>
      <c r="E9">
        <v>8</v>
      </c>
      <c r="F9" t="s">
        <v>70</v>
      </c>
      <c r="G9" t="s">
        <v>71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72</v>
      </c>
      <c r="C10">
        <v>26</v>
      </c>
      <c r="D10" t="s">
        <v>73</v>
      </c>
      <c r="E10">
        <v>5</v>
      </c>
      <c r="F10" t="s">
        <v>74</v>
      </c>
      <c r="G10" t="s">
        <v>75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76</v>
      </c>
      <c r="C11">
        <v>13</v>
      </c>
      <c r="D11" t="s">
        <v>77</v>
      </c>
      <c r="E11">
        <v>8</v>
      </c>
      <c r="F11" t="s">
        <v>70</v>
      </c>
      <c r="G11" t="s">
        <v>78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79</v>
      </c>
      <c r="C12">
        <v>11</v>
      </c>
      <c r="D12" t="s">
        <v>80</v>
      </c>
      <c r="E12">
        <v>3</v>
      </c>
      <c r="F12" t="s">
        <v>46</v>
      </c>
      <c r="G12" t="s">
        <v>81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82</v>
      </c>
      <c r="C13">
        <v>11</v>
      </c>
      <c r="D13" t="s">
        <v>80</v>
      </c>
      <c r="E13">
        <v>3</v>
      </c>
      <c r="F13" t="s">
        <v>46</v>
      </c>
      <c r="G13" t="s">
        <v>83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84</v>
      </c>
      <c r="C14">
        <v>3</v>
      </c>
      <c r="D14" t="s">
        <v>85</v>
      </c>
      <c r="E14">
        <v>2</v>
      </c>
      <c r="F14" t="s">
        <v>86</v>
      </c>
      <c r="G14" t="s">
        <v>87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88</v>
      </c>
      <c r="C15">
        <v>15</v>
      </c>
      <c r="D15" t="s">
        <v>89</v>
      </c>
      <c r="E15">
        <v>4</v>
      </c>
      <c r="F15" t="s">
        <v>54</v>
      </c>
      <c r="G15" t="s">
        <v>90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91</v>
      </c>
      <c r="C16">
        <v>8</v>
      </c>
      <c r="D16" t="s">
        <v>92</v>
      </c>
      <c r="E16">
        <v>3</v>
      </c>
      <c r="F16" t="s">
        <v>46</v>
      </c>
      <c r="G16" t="s">
        <v>93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94</v>
      </c>
      <c r="C17">
        <v>22</v>
      </c>
      <c r="D17" t="s">
        <v>95</v>
      </c>
      <c r="E17">
        <v>3</v>
      </c>
      <c r="F17" t="s">
        <v>46</v>
      </c>
      <c r="G17" t="s">
        <v>96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97</v>
      </c>
      <c r="C18">
        <v>11</v>
      </c>
      <c r="D18" t="s">
        <v>80</v>
      </c>
      <c r="E18">
        <v>3</v>
      </c>
      <c r="F18" t="s">
        <v>46</v>
      </c>
      <c r="G18" t="s">
        <v>98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99</v>
      </c>
      <c r="C19">
        <v>12</v>
      </c>
      <c r="D19" t="s">
        <v>60</v>
      </c>
      <c r="E19">
        <v>2</v>
      </c>
      <c r="F19" t="s">
        <v>86</v>
      </c>
      <c r="G19" t="s">
        <v>100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101</v>
      </c>
      <c r="C20">
        <v>21</v>
      </c>
      <c r="D20" t="s">
        <v>102</v>
      </c>
      <c r="E20">
        <v>8</v>
      </c>
      <c r="F20" t="s">
        <v>70</v>
      </c>
      <c r="G20" t="s">
        <v>103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104</v>
      </c>
      <c r="C21">
        <v>3</v>
      </c>
      <c r="D21" t="s">
        <v>85</v>
      </c>
      <c r="E21">
        <v>2</v>
      </c>
      <c r="F21" t="s">
        <v>86</v>
      </c>
      <c r="G21" t="s">
        <v>105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106</v>
      </c>
      <c r="C22">
        <v>16</v>
      </c>
      <c r="D22" t="s">
        <v>57</v>
      </c>
      <c r="E22">
        <v>1</v>
      </c>
      <c r="F22" t="s">
        <v>50</v>
      </c>
      <c r="G22" t="s">
        <v>58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107</v>
      </c>
      <c r="C23">
        <v>4</v>
      </c>
      <c r="D23" t="s">
        <v>108</v>
      </c>
      <c r="E23">
        <v>7</v>
      </c>
      <c r="F23" t="s">
        <v>61</v>
      </c>
      <c r="G23" t="s">
        <v>68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109</v>
      </c>
      <c r="C24">
        <v>5</v>
      </c>
      <c r="D24" t="s">
        <v>53</v>
      </c>
      <c r="E24">
        <v>4</v>
      </c>
      <c r="F24" t="s">
        <v>54</v>
      </c>
      <c r="G24" t="s">
        <v>110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111</v>
      </c>
      <c r="C25">
        <v>17</v>
      </c>
      <c r="D25" t="s">
        <v>112</v>
      </c>
      <c r="E25">
        <v>8</v>
      </c>
      <c r="F25" t="s">
        <v>70</v>
      </c>
      <c r="G25" t="s">
        <v>113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114</v>
      </c>
      <c r="C26">
        <v>3</v>
      </c>
      <c r="D26" t="s">
        <v>85</v>
      </c>
      <c r="E26">
        <v>7</v>
      </c>
      <c r="F26" t="s">
        <v>61</v>
      </c>
      <c r="G26" t="s">
        <v>115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116</v>
      </c>
      <c r="C27">
        <v>18</v>
      </c>
      <c r="D27" t="s">
        <v>49</v>
      </c>
      <c r="E27">
        <v>1</v>
      </c>
      <c r="F27" t="s">
        <v>50</v>
      </c>
      <c r="G27" t="s">
        <v>117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118</v>
      </c>
      <c r="C28">
        <v>2</v>
      </c>
      <c r="D28" t="s">
        <v>119</v>
      </c>
      <c r="E28">
        <v>2</v>
      </c>
      <c r="F28" t="s">
        <v>86</v>
      </c>
      <c r="G28" t="s">
        <v>120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121</v>
      </c>
      <c r="C29">
        <v>19</v>
      </c>
      <c r="D29" t="s">
        <v>122</v>
      </c>
      <c r="E29">
        <v>8</v>
      </c>
      <c r="F29" t="s">
        <v>70</v>
      </c>
      <c r="G29" t="s">
        <v>123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124</v>
      </c>
      <c r="C30">
        <v>7</v>
      </c>
      <c r="D30" t="s">
        <v>45</v>
      </c>
      <c r="E30">
        <v>6</v>
      </c>
      <c r="F30" t="s">
        <v>125</v>
      </c>
      <c r="G30" t="s">
        <v>126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127</v>
      </c>
      <c r="C31">
        <v>6</v>
      </c>
      <c r="D31" t="s">
        <v>128</v>
      </c>
      <c r="E31">
        <v>8</v>
      </c>
      <c r="F31" t="s">
        <v>70</v>
      </c>
      <c r="G31" t="s">
        <v>129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130</v>
      </c>
      <c r="C32">
        <v>12</v>
      </c>
      <c r="D32" t="s">
        <v>60</v>
      </c>
      <c r="E32">
        <v>5</v>
      </c>
      <c r="F32" t="s">
        <v>74</v>
      </c>
      <c r="G32" t="s">
        <v>131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132</v>
      </c>
      <c r="C33">
        <v>2</v>
      </c>
      <c r="D33" t="s">
        <v>119</v>
      </c>
      <c r="E33">
        <v>2</v>
      </c>
      <c r="F33" t="s">
        <v>86</v>
      </c>
      <c r="G33" t="s">
        <v>133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134</v>
      </c>
      <c r="C34">
        <v>23</v>
      </c>
      <c r="D34" t="s">
        <v>135</v>
      </c>
      <c r="E34">
        <v>3</v>
      </c>
      <c r="F34" t="s">
        <v>46</v>
      </c>
      <c r="G34" t="s">
        <v>136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137</v>
      </c>
      <c r="C35">
        <v>7</v>
      </c>
      <c r="D35" t="s">
        <v>45</v>
      </c>
      <c r="E35">
        <v>2</v>
      </c>
      <c r="F35" t="s">
        <v>86</v>
      </c>
      <c r="G35" t="s">
        <v>138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139</v>
      </c>
      <c r="C36">
        <v>12</v>
      </c>
      <c r="D36" t="s">
        <v>60</v>
      </c>
      <c r="E36">
        <v>1</v>
      </c>
      <c r="F36" t="s">
        <v>50</v>
      </c>
      <c r="G36" t="s">
        <v>140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141</v>
      </c>
      <c r="C37">
        <v>24</v>
      </c>
      <c r="D37" t="s">
        <v>142</v>
      </c>
      <c r="E37">
        <v>5</v>
      </c>
      <c r="F37" t="s">
        <v>74</v>
      </c>
      <c r="G37" t="s">
        <v>143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144</v>
      </c>
      <c r="C38">
        <v>1</v>
      </c>
      <c r="D38" t="s">
        <v>145</v>
      </c>
      <c r="E38">
        <v>1</v>
      </c>
      <c r="F38" t="s">
        <v>50</v>
      </c>
      <c r="G38" t="s">
        <v>58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146</v>
      </c>
      <c r="C39">
        <v>15</v>
      </c>
      <c r="D39" t="s">
        <v>89</v>
      </c>
      <c r="E39">
        <v>4</v>
      </c>
      <c r="F39" t="s">
        <v>54</v>
      </c>
      <c r="G39" t="s">
        <v>147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148</v>
      </c>
      <c r="C40">
        <v>20</v>
      </c>
      <c r="D40" t="s">
        <v>149</v>
      </c>
      <c r="E40">
        <v>2</v>
      </c>
      <c r="F40" t="s">
        <v>86</v>
      </c>
      <c r="G40" t="s">
        <v>150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151</v>
      </c>
      <c r="C41">
        <v>28</v>
      </c>
      <c r="D41" t="s">
        <v>67</v>
      </c>
      <c r="E41">
        <v>4</v>
      </c>
      <c r="F41" t="s">
        <v>54</v>
      </c>
      <c r="G41" t="s">
        <v>152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153</v>
      </c>
      <c r="C42">
        <v>17</v>
      </c>
      <c r="D42" t="s">
        <v>112</v>
      </c>
      <c r="E42">
        <v>8</v>
      </c>
      <c r="F42" t="s">
        <v>70</v>
      </c>
      <c r="G42" t="s">
        <v>154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155</v>
      </c>
      <c r="C43">
        <v>23</v>
      </c>
      <c r="D43" t="s">
        <v>135</v>
      </c>
      <c r="E43">
        <v>3</v>
      </c>
      <c r="F43" t="s">
        <v>46</v>
      </c>
      <c r="G43" t="s">
        <v>156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157</v>
      </c>
      <c r="C44">
        <v>24</v>
      </c>
      <c r="D44" t="s">
        <v>142</v>
      </c>
      <c r="E44">
        <v>7</v>
      </c>
      <c r="F44" t="s">
        <v>61</v>
      </c>
      <c r="G44" t="s">
        <v>158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159</v>
      </c>
      <c r="C45">
        <v>25</v>
      </c>
      <c r="D45" t="s">
        <v>160</v>
      </c>
      <c r="E45">
        <v>6</v>
      </c>
      <c r="F45" t="s">
        <v>125</v>
      </c>
      <c r="G45" t="s">
        <v>161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162</v>
      </c>
      <c r="C46">
        <v>29</v>
      </c>
      <c r="D46" t="s">
        <v>163</v>
      </c>
      <c r="E46">
        <v>3</v>
      </c>
      <c r="F46" t="s">
        <v>46</v>
      </c>
      <c r="G46" t="s">
        <v>164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165</v>
      </c>
      <c r="C47">
        <v>20</v>
      </c>
      <c r="D47" t="s">
        <v>149</v>
      </c>
      <c r="E47">
        <v>5</v>
      </c>
      <c r="F47" t="s">
        <v>74</v>
      </c>
      <c r="G47" t="s">
        <v>166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167</v>
      </c>
      <c r="C48">
        <v>7</v>
      </c>
      <c r="D48" t="s">
        <v>45</v>
      </c>
      <c r="E48">
        <v>1</v>
      </c>
      <c r="F48" t="s">
        <v>50</v>
      </c>
      <c r="G48" t="s">
        <v>168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169</v>
      </c>
      <c r="C49">
        <v>2</v>
      </c>
      <c r="D49" t="s">
        <v>119</v>
      </c>
      <c r="E49">
        <v>2</v>
      </c>
      <c r="F49" t="s">
        <v>86</v>
      </c>
      <c r="G49" t="s">
        <v>170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171</v>
      </c>
      <c r="C50">
        <v>25</v>
      </c>
      <c r="D50" t="s">
        <v>160</v>
      </c>
      <c r="E50">
        <v>6</v>
      </c>
      <c r="F50" t="s">
        <v>125</v>
      </c>
      <c r="G50" t="s">
        <v>172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173</v>
      </c>
      <c r="C51">
        <v>6</v>
      </c>
      <c r="D51" t="s">
        <v>128</v>
      </c>
      <c r="E51">
        <v>7</v>
      </c>
      <c r="F51" t="s">
        <v>61</v>
      </c>
      <c r="G51" t="s">
        <v>174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175</v>
      </c>
      <c r="C52">
        <v>19</v>
      </c>
      <c r="D52" t="s">
        <v>122</v>
      </c>
      <c r="E52">
        <v>8</v>
      </c>
      <c r="F52" t="s">
        <v>70</v>
      </c>
      <c r="G52" t="s">
        <v>176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177</v>
      </c>
      <c r="C53">
        <v>1</v>
      </c>
      <c r="D53" t="s">
        <v>145</v>
      </c>
      <c r="E53">
        <v>1</v>
      </c>
      <c r="F53" t="s">
        <v>50</v>
      </c>
      <c r="G53" t="s">
        <v>178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179</v>
      </c>
      <c r="C54">
        <v>2</v>
      </c>
      <c r="D54" t="s">
        <v>119</v>
      </c>
      <c r="E54">
        <v>2</v>
      </c>
      <c r="F54" t="s">
        <v>86</v>
      </c>
      <c r="G54" t="s">
        <v>180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181</v>
      </c>
      <c r="C55">
        <v>6</v>
      </c>
      <c r="D55" t="s">
        <v>128</v>
      </c>
      <c r="E55">
        <v>2</v>
      </c>
      <c r="F55" t="s">
        <v>86</v>
      </c>
      <c r="G55" t="s">
        <v>182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183</v>
      </c>
      <c r="C56">
        <v>8</v>
      </c>
      <c r="D56" t="s">
        <v>92</v>
      </c>
      <c r="E56">
        <v>3</v>
      </c>
      <c r="F56" t="s">
        <v>46</v>
      </c>
      <c r="G56" t="s">
        <v>184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185</v>
      </c>
      <c r="C57">
        <v>14</v>
      </c>
      <c r="D57" t="s">
        <v>186</v>
      </c>
      <c r="E57">
        <v>4</v>
      </c>
      <c r="F57" t="s">
        <v>54</v>
      </c>
      <c r="G57" t="s">
        <v>187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188</v>
      </c>
      <c r="C58">
        <v>9</v>
      </c>
      <c r="D58" t="s">
        <v>189</v>
      </c>
      <c r="E58">
        <v>5</v>
      </c>
      <c r="F58" t="s">
        <v>74</v>
      </c>
      <c r="G58" t="s">
        <v>190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191</v>
      </c>
      <c r="C59">
        <v>9</v>
      </c>
      <c r="D59" t="s">
        <v>189</v>
      </c>
      <c r="E59">
        <v>5</v>
      </c>
      <c r="F59" t="s">
        <v>74</v>
      </c>
      <c r="G59" t="s">
        <v>192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193</v>
      </c>
      <c r="C60">
        <v>15</v>
      </c>
      <c r="D60" t="s">
        <v>89</v>
      </c>
      <c r="E60">
        <v>4</v>
      </c>
      <c r="F60" t="s">
        <v>54</v>
      </c>
      <c r="G60" t="s">
        <v>55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194</v>
      </c>
      <c r="C61">
        <v>17</v>
      </c>
      <c r="D61" t="s">
        <v>112</v>
      </c>
      <c r="E61">
        <v>8</v>
      </c>
      <c r="F61" t="s">
        <v>70</v>
      </c>
      <c r="G61" t="s">
        <v>195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196</v>
      </c>
      <c r="C62">
        <v>14</v>
      </c>
      <c r="D62" t="s">
        <v>186</v>
      </c>
      <c r="E62">
        <v>4</v>
      </c>
      <c r="F62" t="s">
        <v>54</v>
      </c>
      <c r="G62" t="s">
        <v>197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198</v>
      </c>
      <c r="C63">
        <v>27</v>
      </c>
      <c r="D63" t="s">
        <v>199</v>
      </c>
      <c r="E63">
        <v>8</v>
      </c>
      <c r="F63" t="s">
        <v>70</v>
      </c>
      <c r="G63" t="s">
        <v>200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201</v>
      </c>
      <c r="C64">
        <v>23</v>
      </c>
      <c r="D64" t="s">
        <v>135</v>
      </c>
      <c r="E64">
        <v>1</v>
      </c>
      <c r="F64" t="s">
        <v>50</v>
      </c>
      <c r="G64" t="s">
        <v>202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203</v>
      </c>
      <c r="C65">
        <v>14</v>
      </c>
      <c r="D65" t="s">
        <v>186</v>
      </c>
      <c r="E65">
        <v>4</v>
      </c>
      <c r="F65" t="s">
        <v>54</v>
      </c>
      <c r="G65" t="s">
        <v>187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204</v>
      </c>
      <c r="C66">
        <v>16</v>
      </c>
      <c r="D66" t="s">
        <v>57</v>
      </c>
      <c r="E66">
        <v>1</v>
      </c>
      <c r="F66" t="s">
        <v>50</v>
      </c>
      <c r="G66" t="s">
        <v>58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205</v>
      </c>
      <c r="C67">
        <v>8</v>
      </c>
      <c r="D67" t="s">
        <v>92</v>
      </c>
      <c r="E67">
        <v>3</v>
      </c>
      <c r="F67" t="s">
        <v>46</v>
      </c>
      <c r="G67" t="s">
        <v>206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207</v>
      </c>
      <c r="C68">
        <v>29</v>
      </c>
      <c r="D68" t="s">
        <v>163</v>
      </c>
      <c r="E68">
        <v>2</v>
      </c>
      <c r="F68" t="s">
        <v>86</v>
      </c>
      <c r="G68" t="s">
        <v>208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209</v>
      </c>
      <c r="C69">
        <v>20</v>
      </c>
      <c r="D69" t="s">
        <v>149</v>
      </c>
      <c r="E69">
        <v>1</v>
      </c>
      <c r="F69" t="s">
        <v>50</v>
      </c>
      <c r="G69" t="s">
        <v>210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211</v>
      </c>
      <c r="C70">
        <v>24</v>
      </c>
      <c r="D70" t="s">
        <v>142</v>
      </c>
      <c r="E70">
        <v>6</v>
      </c>
      <c r="F70" t="s">
        <v>125</v>
      </c>
      <c r="G70" t="s">
        <v>212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213</v>
      </c>
      <c r="C71">
        <v>12</v>
      </c>
      <c r="D71" t="s">
        <v>60</v>
      </c>
      <c r="E71">
        <v>6</v>
      </c>
      <c r="F71" t="s">
        <v>125</v>
      </c>
      <c r="G71" t="s">
        <v>214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215</v>
      </c>
      <c r="C72">
        <v>4</v>
      </c>
      <c r="D72" t="s">
        <v>108</v>
      </c>
      <c r="E72">
        <v>8</v>
      </c>
      <c r="F72" t="s">
        <v>70</v>
      </c>
      <c r="G72" t="s">
        <v>216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217</v>
      </c>
      <c r="C73">
        <v>4</v>
      </c>
      <c r="D73" t="s">
        <v>108</v>
      </c>
      <c r="E73">
        <v>6</v>
      </c>
      <c r="F73" t="s">
        <v>125</v>
      </c>
      <c r="G73" t="s">
        <v>218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219</v>
      </c>
      <c r="C74">
        <v>1</v>
      </c>
      <c r="D74" t="s">
        <v>145</v>
      </c>
      <c r="E74">
        <v>2</v>
      </c>
      <c r="F74" t="s">
        <v>86</v>
      </c>
      <c r="G74" t="s">
        <v>220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221</v>
      </c>
      <c r="C75">
        <v>21</v>
      </c>
      <c r="D75" t="s">
        <v>102</v>
      </c>
      <c r="E75">
        <v>8</v>
      </c>
      <c r="F75" t="s">
        <v>70</v>
      </c>
      <c r="G75" t="s">
        <v>222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223</v>
      </c>
      <c r="C76">
        <v>8</v>
      </c>
      <c r="D76" t="s">
        <v>92</v>
      </c>
      <c r="E76">
        <v>3</v>
      </c>
      <c r="F76" t="s">
        <v>46</v>
      </c>
      <c r="G76" t="s">
        <v>224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225</v>
      </c>
      <c r="C77">
        <v>22</v>
      </c>
      <c r="D77" t="s">
        <v>95</v>
      </c>
      <c r="E77">
        <v>3</v>
      </c>
      <c r="F77" t="s">
        <v>46</v>
      </c>
      <c r="G77" t="s">
        <v>226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227</v>
      </c>
      <c r="C78">
        <v>26</v>
      </c>
      <c r="D78" t="s">
        <v>73</v>
      </c>
      <c r="E78">
        <v>5</v>
      </c>
      <c r="F78" t="s">
        <v>74</v>
      </c>
      <c r="G78" t="s">
        <v>75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230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Jair Munoz Flores</cp:lastModifiedBy>
  <cp:lastPrinted>2021-04-23T15:04:58Z</cp:lastPrinted>
  <dcterms:created xsi:type="dcterms:W3CDTF">2021-04-23T13:59:34Z</dcterms:created>
  <dcterms:modified xsi:type="dcterms:W3CDTF">2021-10-11T15:24:04Z</dcterms:modified>
</cp:coreProperties>
</file>