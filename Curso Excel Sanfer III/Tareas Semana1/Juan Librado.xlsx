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.mendoza\Desktop\"/>
    </mc:Choice>
  </mc:AlternateContent>
  <bookViews>
    <workbookView xWindow="0" yWindow="0" windowWidth="20490" windowHeight="7650"/>
  </bookViews>
  <sheets>
    <sheet name="Ejercicios" sheetId="2" r:id="rId1"/>
    <sheet name="Hoja1" sheetId="4" r:id="rId2"/>
    <sheet name="Hoja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2" i="2" l="1"/>
  <c r="I142" i="2" l="1"/>
  <c r="G142" i="2"/>
  <c r="L142" i="2"/>
  <c r="I79" i="3" l="1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<sst xmlns="http://schemas.openxmlformats.org/spreadsheetml/2006/main" count="707" uniqueCount="246">
  <si>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</si>
  <si>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</si>
  <si>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</si>
  <si>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</si>
  <si>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</si>
  <si>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</si>
  <si>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</si>
  <si>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</si>
  <si>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</si>
  <si>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</si>
  <si>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</si>
  <si>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</si>
  <si>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</si>
  <si>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</si>
  <si>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</si>
  <si>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</si>
  <si>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</si>
  <si>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</si>
  <si>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</si>
  <si>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</si>
  <si>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</si>
  <si>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</si>
  <si>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</si>
  <si>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</si>
  <si>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</si>
  <si>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</si>
  <si>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</si>
  <si>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</si>
  <si>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</si>
  <si>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</si>
  <si>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</si>
  <si>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</si>
  <si>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</si>
  <si>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</si>
  <si>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</si>
  <si>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</si>
  <si>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</si>
  <si>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</si>
  <si>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</si>
  <si>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</si>
  <si>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</si>
  <si>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</si>
  <si>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</si>
  <si>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</si>
  <si>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</si>
  <si>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</si>
  <si>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</si>
  <si>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</si>
  <si>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</si>
  <si>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</si>
  <si>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</si>
  <si>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</si>
  <si>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</si>
  <si>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</si>
  <si>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</si>
  <si>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</si>
  <si>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</si>
  <si>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</si>
  <si>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</si>
  <si>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</si>
  <si>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</si>
  <si>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</si>
  <si>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</si>
  <si>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</si>
  <si>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</si>
  <si>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</si>
  <si>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</si>
  <si>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</si>
  <si>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</si>
  <si>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</si>
  <si>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</si>
  <si>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</si>
  <si>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</si>
  <si>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</si>
  <si>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</si>
  <si>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</si>
  <si>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</si>
  <si>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</si>
  <si>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</si>
  <si>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</si>
  <si>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</si>
  <si>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</si>
  <si>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</si>
  <si>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</si>
  <si>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</si>
  <si>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</si>
  <si>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</si>
  <si>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</si>
  <si>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</si>
  <si>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</si>
  <si>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</si>
  <si>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</si>
  <si>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</si>
  <si>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</si>
  <si>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</si>
  <si>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</si>
  <si>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</si>
  <si>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</si>
  <si>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</si>
  <si>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</si>
  <si>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</si>
  <si>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</si>
  <si>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</si>
  <si>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</si>
  <si>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</si>
  <si>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</si>
  <si>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</si>
  <si>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</si>
  <si>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</si>
  <si>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</si>
  <si>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</si>
  <si>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</si>
  <si>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</si>
  <si>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</si>
  <si>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</si>
  <si>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</si>
  <si>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</si>
  <si>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</si>
  <si>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</si>
  <si>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</si>
  <si>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</si>
  <si>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</si>
  <si>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</si>
  <si>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</si>
  <si>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</si>
  <si>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</si>
  <si>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</si>
  <si>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</si>
  <si>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</si>
  <si>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</si>
  <si>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</si>
  <si>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</si>
  <si>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</si>
  <si>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</si>
  <si>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</si>
  <si>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</si>
  <si>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</si>
  <si>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</si>
  <si>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</si>
  <si>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</si>
  <si>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</si>
  <si>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</si>
  <si>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</si>
  <si>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</si>
  <si>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</si>
  <si>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</si>
  <si>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</si>
  <si>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</si>
  <si>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</si>
  <si>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</si>
  <si>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</si>
  <si>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</si>
  <si>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</si>
  <si>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</si>
  <si>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</si>
  <si>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</si>
  <si>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</si>
  <si>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</si>
  <si>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</si>
  <si>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</si>
  <si>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</si>
  <si>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</si>
  <si>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</si>
  <si>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</si>
  <si>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</si>
  <si>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</si>
  <si>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</si>
  <si>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</si>
  <si>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</si>
  <si>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</si>
  <si>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</si>
  <si>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</si>
  <si>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</si>
  <si>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</si>
  <si>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</si>
  <si>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</si>
  <si>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</si>
  <si>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</si>
  <si>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</si>
  <si>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</si>
  <si>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</si>
  <si>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</si>
  <si>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</si>
  <si>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</si>
  <si>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</si>
  <si>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</si>
  <si>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</si>
  <si>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</si>
  <si>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</si>
  <si>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</si>
  <si>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</si>
  <si>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</si>
  <si>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</si>
  <si>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</si>
  <si>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</si>
  <si>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</si>
  <si>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</si>
  <si>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</si>
  <si>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</si>
  <si>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</si>
  <si>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</si>
  <si>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</si>
  <si>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</si>
  <si>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</si>
  <si>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</si>
  <si>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</si>
  <si>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</si>
  <si>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</si>
  <si>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</si>
  <si>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</si>
  <si>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</si>
  <si>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</si>
  <si>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</si>
  <si>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</si>
  <si>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</si>
  <si>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</si>
  <si>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</si>
  <si>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</si>
  <si>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</si>
  <si>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</si>
  <si>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</si>
  <si>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</si>
  <si>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</si>
  <si>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</si>
  <si>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</si>
  <si>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</si>
  <si>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</si>
  <si>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</si>
  <si>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</si>
  <si>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</si>
  <si>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</si>
  <si>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</si>
  <si>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</si>
  <si>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</si>
  <si>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</si>
  <si>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</si>
  <si>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Hola</t>
  </si>
  <si>
    <t xml:space="preserve">Juan Librado Mendoza Carrera </t>
  </si>
  <si>
    <t xml:space="preserve">Clase de Excel  </t>
  </si>
  <si>
    <t>Holanda</t>
  </si>
  <si>
    <t xml:space="preserve">México </t>
  </si>
  <si>
    <t xml:space="preserve">Japón </t>
  </si>
  <si>
    <t>Inglaterra</t>
  </si>
  <si>
    <t xml:space="preserve">Noruega </t>
  </si>
  <si>
    <t>MECJ750723HPLNRN02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</si>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</sst>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164" formatCode="[$-F800]dddd\,\ mmmm\ dd\,\ yyyy"/>
    <numFmt numFmtId="165" formatCode="&quot;2021-TEH-&quot;000"/>
    <numFmt numFmtId="166" formatCode="[$USD]\ #,##0.00"/>
    <numFmt numFmtId="167" formatCode="0.0"/>
    <numFmt numFmtId="168" formatCode="&quot;0000-0000-0000-&quot;0000"/>
    <numFmt numFmtId="169" formatCode="[$EUR]\ #,##0.00"/>
  </numFmts>
  <fonts count="8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14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/>
    <xf numFmtId="1" fontId="0" fillId="0" borderId="1" xfId="0" applyNumberFormat="1" applyBorder="1"/>
    <xf numFmtId="49" fontId="0" fillId="0" borderId="1" xfId="0" applyNumberFormat="1" applyBorder="1"/>
    <xf numFmtId="14" fontId="0" fillId="0" borderId="1" xfId="0" applyNumberFormat="1" applyBorder="1"/>
    <xf numFmtId="9" fontId="0" fillId="0" borderId="1" xfId="2" applyFont="1" applyBorder="1"/>
    <xf numFmtId="4" fontId="0" fillId="0" borderId="1" xfId="0" applyNumberFormat="1" applyBorder="1"/>
    <xf numFmtId="164" fontId="0" fillId="0" borderId="1" xfId="0" applyNumberFormat="1" applyBorder="1"/>
    <xf numFmtId="12" fontId="0" fillId="0" borderId="1" xfId="0" applyNumberFormat="1" applyBorder="1"/>
    <xf numFmtId="165" fontId="3" fillId="2" borderId="1" xfId="0" applyNumberFormat="1" applyFont="1" applyFill="1" applyBorder="1"/>
    <xf numFmtId="44" fontId="0" fillId="0" borderId="1" xfId="1" applyFont="1" applyBorder="1"/>
    <xf numFmtId="166" fontId="0" fillId="0" borderId="1" xfId="0" applyNumberFormat="1" applyBorder="1"/>
    <xf numFmtId="169" fontId="0" fillId="0" borderId="1" xfId="0" applyNumberFormat="1" applyBorder="1"/>
    <xf numFmtId="0" fontId="3" fillId="2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67" fontId="0" fillId="0" borderId="1" xfId="0" applyNumberFormat="1" applyBorder="1"/>
    <xf numFmtId="168" fontId="3" fillId="2" borderId="1" xfId="0" applyNumberFormat="1" applyFont="1" applyFill="1" applyBorder="1"/>
    <xf numFmtId="0" fontId="0" fillId="0" borderId="1" xfId="0" applyBorder="1"/>
    <xf numFmtId="0" fontId="2" fillId="0" borderId="1" xfId="0" applyFont="1" applyBorder="1"/>
    <xf numFmtId="2" fontId="2" fillId="0" borderId="1" xfId="0" applyNumberFormat="1" applyFont="1" applyBorder="1"/>
  </cellXfs>
  <cellStyles count="3">
    <cellStyle name="Moneda" xfId="1" builtinId="4"/>
    <cellStyle name="Normal" xfId="0" builtinId="0"/>
    <cellStyle name="Porcentaje" xfId="2" builtinId="5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a2" displayName="Tabla2" ref="A64:L142" totalsRowCount="1">
  <autoFilter ref="A64:L141"/>
  <tableColumns count="12">
    <tableColumn id="1" name="Id Producto"/>
    <tableColumn id="2" name="Nombre Producto"/>
    <tableColumn id="3" name="Id Proveedor"/>
    <tableColumn id="4" name="Nombre de Proveedor" totalsRowFunction="count"/>
    <tableColumn id="5" name="Id Categoría"/>
    <tableColumn id="6" name="Nombre Categoria"/>
    <tableColumn id="7" name="Cantidad Por Unidad" totalsRowFunction="count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workbookViewId="0">
      <selection activeCell="D146" sqref="D146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7.285156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8" t="s">
        <v>0</v>
      </c>
      <c r="B1" s="8"/>
      <c r="C1" s="8"/>
      <c r="D1" s="8"/>
      <c r="E1" s="8"/>
      <c r="F1" s="8"/>
      <c r="G1" s="8"/>
    </row>
    <row r="2" spans="1:7" x14ac:dyDescent="0.25">
      <c r="A2" s="8"/>
      <c r="B2" s="8"/>
      <c r="C2" s="8"/>
      <c r="D2" s="8"/>
      <c r="E2" s="8"/>
      <c r="F2" s="8"/>
      <c r="G2" s="8"/>
    </row>
    <row r="3" spans="1:7" x14ac:dyDescent="0.25">
      <c r="A3" s="8"/>
      <c r="B3" s="8"/>
      <c r="C3" s="8"/>
      <c r="D3" s="8"/>
      <c r="E3" s="8"/>
      <c r="F3" s="8"/>
      <c r="G3" s="8"/>
    </row>
    <row r="4" spans="1:7" x14ac:dyDescent="0.25">
      <c r="A4" s="8"/>
      <c r="B4" s="8"/>
      <c r="C4" s="8"/>
      <c r="D4" s="8"/>
      <c r="E4" s="8"/>
      <c r="F4" s="8"/>
      <c r="G4" s="8"/>
    </row>
    <row r="5" spans="1:7" x14ac:dyDescent="0.25">
      <c r="A5" s="8"/>
      <c r="B5" s="8"/>
      <c r="C5" s="8"/>
      <c r="D5" s="8"/>
      <c r="E5" s="8"/>
      <c r="F5" s="8"/>
      <c r="G5" s="8"/>
    </row>
    <row r="7" spans="1:7" x14ac:dyDescent="0.25">
      <c r="A7" s="9" t="s">
        <v>21</v>
      </c>
      <c r="B7" s="9"/>
      <c r="C7" s="9"/>
      <c r="D7" s="9"/>
      <c r="E7" s="9"/>
      <c r="F7" s="9"/>
      <c r="G7" s="9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0" t="s">
        <v>10</v>
      </c>
      <c r="B9" s="10"/>
      <c r="C9" s="11">
        <v>5</v>
      </c>
      <c r="D9" s="11"/>
    </row>
    <row r="10" spans="1:7" x14ac:dyDescent="0.25">
      <c r="A10" s="10" t="s">
        <v>6</v>
      </c>
      <c r="B10" s="10"/>
      <c r="C10" s="12" t="s">
        <v>236</v>
      </c>
      <c r="D10" s="12"/>
    </row>
    <row r="11" spans="1:7" x14ac:dyDescent="0.25">
      <c r="A11" s="10" t="s">
        <v>10</v>
      </c>
      <c r="B11" s="10"/>
      <c r="C11" s="11">
        <v>4</v>
      </c>
      <c r="D11" s="11"/>
    </row>
    <row r="12" spans="1:7" x14ac:dyDescent="0.25">
      <c r="A12" s="10" t="s">
        <v>7</v>
      </c>
      <c r="B12" s="10"/>
      <c r="C12" s="13">
        <v>44478</v>
      </c>
      <c r="D12" s="13"/>
    </row>
    <row r="13" spans="1:7" x14ac:dyDescent="0.25">
      <c r="A13" s="10" t="s">
        <v>8</v>
      </c>
      <c r="B13" s="10"/>
      <c r="C13" s="14">
        <v>0.1</v>
      </c>
      <c r="D13" s="14"/>
    </row>
    <row r="14" spans="1:7" x14ac:dyDescent="0.25">
      <c r="A14" s="10" t="s">
        <v>9</v>
      </c>
      <c r="B14" s="10"/>
      <c r="C14" s="15">
        <v>25.952999999999999</v>
      </c>
      <c r="D14" s="15"/>
    </row>
    <row r="15" spans="1:7" x14ac:dyDescent="0.25">
      <c r="A15" s="10" t="s">
        <v>10</v>
      </c>
      <c r="B15" s="10"/>
      <c r="C15" s="11">
        <v>45</v>
      </c>
      <c r="D15" s="11"/>
    </row>
    <row r="16" spans="1:7" x14ac:dyDescent="0.25">
      <c r="A16" s="10" t="s">
        <v>11</v>
      </c>
      <c r="B16" s="10"/>
      <c r="C16" s="16">
        <v>44478</v>
      </c>
      <c r="D16" s="16"/>
    </row>
    <row r="17" spans="1:9" x14ac:dyDescent="0.25">
      <c r="A17" s="10" t="s">
        <v>12</v>
      </c>
      <c r="B17" s="10"/>
      <c r="C17" s="17">
        <v>1.5</v>
      </c>
      <c r="D17" s="17"/>
    </row>
    <row r="18" spans="1:9" x14ac:dyDescent="0.25">
      <c r="A18" s="10" t="s">
        <v>13</v>
      </c>
      <c r="B18" s="10"/>
      <c r="C18" s="18">
        <v>1</v>
      </c>
      <c r="D18" s="18"/>
      <c r="F18" s="5" t="s">
        <v>18</v>
      </c>
      <c r="G18" s="5" t="s">
        <v>19</v>
      </c>
    </row>
    <row r="19" spans="1:9" x14ac:dyDescent="0.25">
      <c r="A19" s="10" t="s">
        <v>6</v>
      </c>
      <c r="B19" s="10"/>
      <c r="C19" s="12" t="s">
        <v>237</v>
      </c>
      <c r="D19" s="12"/>
    </row>
    <row r="20" spans="1:9" x14ac:dyDescent="0.25">
      <c r="A20" s="10" t="s">
        <v>14</v>
      </c>
      <c r="B20" s="10"/>
      <c r="C20" s="19">
        <v>2387.34</v>
      </c>
      <c r="D20" s="19"/>
    </row>
    <row r="21" spans="1:9" x14ac:dyDescent="0.25">
      <c r="A21" s="10" t="s">
        <v>15</v>
      </c>
      <c r="B21" s="10"/>
      <c r="C21" s="20">
        <v>3756</v>
      </c>
      <c r="D21" s="20"/>
    </row>
    <row r="22" spans="1:9" x14ac:dyDescent="0.25">
      <c r="A22" s="10" t="s">
        <v>6</v>
      </c>
      <c r="B22" s="10"/>
      <c r="C22" s="12" t="s">
        <v>238</v>
      </c>
      <c r="D22" s="12"/>
    </row>
    <row r="23" spans="1:9" x14ac:dyDescent="0.25">
      <c r="A23" s="10" t="s">
        <v>16</v>
      </c>
      <c r="B23" s="10"/>
      <c r="C23" s="25">
        <v>45.5</v>
      </c>
      <c r="D23" s="25"/>
    </row>
    <row r="24" spans="1:9" x14ac:dyDescent="0.25">
      <c r="A24" s="10" t="s">
        <v>12</v>
      </c>
      <c r="B24" s="10"/>
      <c r="C24" s="17">
        <v>4.2</v>
      </c>
      <c r="D24" s="17"/>
    </row>
    <row r="25" spans="1:9" x14ac:dyDescent="0.25">
      <c r="A25" s="10" t="s">
        <v>13</v>
      </c>
      <c r="B25" s="10"/>
      <c r="C25" s="26">
        <v>1</v>
      </c>
      <c r="D25" s="26"/>
      <c r="F25" s="5" t="s">
        <v>18</v>
      </c>
      <c r="G25" s="22" t="s">
        <v>20</v>
      </c>
      <c r="H25" s="22"/>
    </row>
    <row r="26" spans="1:9" x14ac:dyDescent="0.25">
      <c r="A26" s="10" t="s">
        <v>17</v>
      </c>
      <c r="B26" s="10"/>
      <c r="C26" s="21">
        <v>38565</v>
      </c>
      <c r="D26" s="21"/>
    </row>
    <row r="29" spans="1:9" x14ac:dyDescent="0.25">
      <c r="A29" s="23" t="s">
        <v>23</v>
      </c>
      <c r="B29" s="24"/>
      <c r="C29" s="24"/>
      <c r="D29" s="24"/>
      <c r="E29" s="24"/>
      <c r="F29" s="24"/>
      <c r="G29" s="24"/>
      <c r="H29" s="24"/>
      <c r="I29" s="24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23" t="s">
        <v>31</v>
      </c>
      <c r="B45" s="24"/>
      <c r="C45" s="24"/>
      <c r="D45" s="24"/>
      <c r="E45" s="24"/>
      <c r="F45" s="24"/>
      <c r="G45" s="24"/>
      <c r="H45" s="24"/>
      <c r="I45" s="24"/>
    </row>
    <row r="47" spans="1:9" x14ac:dyDescent="0.25">
      <c r="A47" s="28" t="s">
        <v>1</v>
      </c>
      <c r="B47" s="28"/>
      <c r="C47" s="29">
        <v>-4</v>
      </c>
      <c r="D47" s="1"/>
      <c r="E47" s="1"/>
    </row>
    <row r="48" spans="1:9" x14ac:dyDescent="0.25">
      <c r="A48" s="28" t="s">
        <v>2</v>
      </c>
      <c r="B48" s="28"/>
      <c r="C48" s="2">
        <v>345</v>
      </c>
      <c r="D48" s="1"/>
      <c r="E48" s="1"/>
    </row>
    <row r="49" spans="1:12" x14ac:dyDescent="0.25">
      <c r="A49" s="28" t="s">
        <v>3</v>
      </c>
      <c r="B49" s="28"/>
      <c r="C49" s="7">
        <v>44523</v>
      </c>
      <c r="D49" s="1"/>
      <c r="E49" s="1"/>
    </row>
    <row r="50" spans="1:12" x14ac:dyDescent="0.25">
      <c r="A50" s="28" t="s">
        <v>32</v>
      </c>
      <c r="B50" s="28"/>
      <c r="C50" s="2">
        <v>21</v>
      </c>
      <c r="D50" s="1"/>
      <c r="E50" s="1"/>
    </row>
    <row r="51" spans="1:12" x14ac:dyDescent="0.25">
      <c r="A51" s="28" t="s">
        <v>4</v>
      </c>
      <c r="B51" s="28"/>
      <c r="C51" s="2" t="s">
        <v>244</v>
      </c>
      <c r="D51" s="1"/>
      <c r="E51" s="1"/>
    </row>
    <row r="52" spans="1:12" x14ac:dyDescent="0.25">
      <c r="A52" s="28" t="s">
        <v>5</v>
      </c>
      <c r="B52" s="28"/>
      <c r="C52" s="2" t="s">
        <v>239</v>
      </c>
      <c r="D52" s="1"/>
      <c r="E52" s="1"/>
    </row>
    <row r="55" spans="1:12" x14ac:dyDescent="0.25">
      <c r="A55" s="23" t="s">
        <v>229</v>
      </c>
      <c r="B55" s="24"/>
      <c r="C55" s="24"/>
      <c r="D55" s="24"/>
      <c r="E55" s="24"/>
      <c r="F55" s="24"/>
      <c r="G55" s="24"/>
      <c r="H55" s="24"/>
      <c r="I55" s="24"/>
    </row>
    <row r="57" spans="1:12" x14ac:dyDescent="0.25">
      <c r="A57" s="27" t="s">
        <v>230</v>
      </c>
      <c r="B57" s="27"/>
      <c r="C57" s="4">
        <v>10</v>
      </c>
    </row>
    <row r="58" spans="1:12" x14ac:dyDescent="0.25">
      <c r="A58" s="27" t="s">
        <v>232</v>
      </c>
      <c r="B58" s="27"/>
      <c r="C58" s="4">
        <v>559</v>
      </c>
    </row>
    <row r="59" spans="1:12" x14ac:dyDescent="0.25">
      <c r="A59" s="27" t="s">
        <v>233</v>
      </c>
      <c r="B59" s="27"/>
      <c r="C59" s="4">
        <v>8</v>
      </c>
    </row>
    <row r="60" spans="1:12" x14ac:dyDescent="0.25">
      <c r="A60" s="27" t="s">
        <v>234</v>
      </c>
      <c r="B60" s="27"/>
      <c r="C60" s="4">
        <v>5</v>
      </c>
    </row>
    <row r="61" spans="1:12" x14ac:dyDescent="0.25">
      <c r="A61" s="27" t="s">
        <v>235</v>
      </c>
      <c r="B61" s="27"/>
      <c r="C61" s="4">
        <v>718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 t="s">
        <v>245</v>
      </c>
      <c r="K129">
        <v>15</v>
      </c>
      <c r="L129" t="b">
        <v>0</v>
      </c>
    </row>
    <row r="130" spans="1:12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D142">
        <f>SUBTOTAL(103,Tabla2[Nombre de Proveedor])</f>
        <v>77</v>
      </c>
      <c r="G142">
        <f>SUBTOTAL(103,Tabla2[Cantidad Por Unidad])</f>
        <v>77</v>
      </c>
      <c r="I142">
        <f>SUBTOTAL(109,Tabla2[Unidades En Existencia])</f>
        <v>3119</v>
      </c>
      <c r="L142">
        <f>SUBTOTAL(103,Tabla2[Suspendido])</f>
        <v>77</v>
      </c>
    </row>
  </sheetData>
  <mergeCells count="53">
    <mergeCell ref="A61:B61"/>
    <mergeCell ref="A47:B47"/>
    <mergeCell ref="A48:B48"/>
    <mergeCell ref="A49:B49"/>
    <mergeCell ref="A50:B50"/>
    <mergeCell ref="A51:B51"/>
    <mergeCell ref="A52:B52"/>
    <mergeCell ref="A60:B60"/>
    <mergeCell ref="A45:I45"/>
    <mergeCell ref="A55:I55"/>
    <mergeCell ref="A57:B57"/>
    <mergeCell ref="A58:B58"/>
    <mergeCell ref="A59:B59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:G5"/>
    <mergeCell ref="A7:G7"/>
    <mergeCell ref="A9:B9"/>
    <mergeCell ref="C9:D9"/>
    <mergeCell ref="A10:B10"/>
    <mergeCell ref="C10:D10"/>
  </mergeCells>
  <conditionalFormatting sqref="A32:A43">
    <cfRule type="cellIs" dxfId="5" priority="15" operator="greaterThan">
      <formula>50</formula>
    </cfRule>
  </conditionalFormatting>
  <conditionalFormatting sqref="C32:C43">
    <cfRule type="top10" dxfId="4" priority="12" rank="3"/>
  </conditionalFormatting>
  <conditionalFormatting sqref="D32:D43">
    <cfRule type="duplicateValues" dxfId="3" priority="11"/>
  </conditionalFormatting>
  <conditionalFormatting sqref="E32:E43">
    <cfRule type="dataBar" priority="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{1C605567-410F-4705-91D1-DEC9734AAA6A}</x14:id>
        </ext>
      </extLst>
    </cfRule>
  </conditionalFormatting>
  <conditionalFormatting sqref="B32:B43">
    <cfRule type="containsText" dxfId="2" priority="3" operator="containsText" text="Pedro">
      <formula>NOT(ISERROR(SEARCH("Pedro",B32)))</formula>
    </cfRule>
    <cfRule type="containsText" dxfId="1" priority="2" operator="containsText" text="Leticia">
      <formula>NOT(ISERROR(SEARCH("Leticia",B32)))</formula>
    </cfRule>
    <cfRule type="containsText" dxfId="0" priority="1" operator="containsText" text="Armando">
      <formula>NOT(ISERROR(SEARCH("Armando",B32)))</formula>
    </cfRule>
  </conditionalFormatting>
  <dataValidations count="5">
    <dataValidation type="textLength" allowBlank="1" showInputMessage="1" showErrorMessage="1" sqref="C51">
      <formula1>1</formula1>
      <formula2>18</formula2>
    </dataValidation>
    <dataValidation type="whole" allowBlank="1" showInputMessage="1" showErrorMessage="1" promptTitle="Nota " prompt="solo permite número mayores a 100 y menores a 1000000" sqref="C48">
      <formula1>100</formula1>
      <formula2>1000000</formula2>
    </dataValidation>
    <dataValidation type="date" allowBlank="1" showInputMessage="1" showErrorMessage="1" promptTitle="Nota" prompt="solo permite fechas del año 2021_x000a_" sqref="C49">
      <formula1>44197</formula1>
      <formula2>44561</formula2>
    </dataValidation>
    <dataValidation type="whole" operator="notBetween" allowBlank="1" showInputMessage="1" showErrorMessage="1" sqref="C50">
      <formula1>10</formula1>
      <formula2>20</formula2>
    </dataValidation>
    <dataValidation type="whole" allowBlank="1" showInputMessage="1" showErrorMessage="1" sqref="C47">
      <formula1>-100</formula1>
      <formula2>-1</formula2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605567-410F-4705-91D1-DEC9734AAA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E32:E43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Hoja1!$A$1:$A$5</xm:f>
          </x14:formula1>
          <xm:sqref>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239</v>
      </c>
    </row>
    <row r="2" spans="1:1" x14ac:dyDescent="0.25">
      <c r="A2" t="s">
        <v>240</v>
      </c>
    </row>
    <row r="3" spans="1:1" x14ac:dyDescent="0.25">
      <c r="A3" t="s">
        <v>241</v>
      </c>
    </row>
    <row r="4" spans="1:1" x14ac:dyDescent="0.25">
      <c r="A4" t="s">
        <v>242</v>
      </c>
    </row>
    <row r="5" spans="1:1" x14ac:dyDescent="0.25">
      <c r="A5" t="s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Juan Librado Mendoza Carrera</cp:lastModifiedBy>
  <cp:lastPrinted>2021-04-23T15:04:58Z</cp:lastPrinted>
  <dcterms:created xsi:type="dcterms:W3CDTF">2021-04-23T13:59:34Z</dcterms:created>
  <dcterms:modified xsi:type="dcterms:W3CDTF">2021-10-11T13:43:42Z</dcterms:modified>
</cp:coreProperties>
</file>