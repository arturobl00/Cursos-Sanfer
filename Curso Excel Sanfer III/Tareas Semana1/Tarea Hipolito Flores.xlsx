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paba\Documents\Mis archivos recibidos\"/>
    </mc:Choice>
  </mc:AlternateContent>
  <bookViews>
    <workbookView xWindow="-120" yWindow="-120" windowWidth="20730" windowHeight="11160"/>
  </bookViews>
  <sheets>
    <sheet name="Ejercicios" sheetId="2" r:id="rId1"/>
    <sheet name="Hoja3" sheetId="3" state="hidden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2" i="2" l="1"/>
  <c r="G142" i="2"/>
  <c r="L142" i="2"/>
  <c r="I79" i="3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<sst xmlns="http://schemas.openxmlformats.org/spreadsheetml/2006/main" count="703" uniqueCount="242">
  <si>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</si>
  <si>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</si>
  <si>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</si>
  <si>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</si>
  <si>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</si>
  <si>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</si>
  <si>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</si>
  <si>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</si>
  <si>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</si>
  <si>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</si>
  <si>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</si>
  <si>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</si>
  <si>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</si>
  <si>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</si>
  <si>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</si>
  <si>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</si>
  <si>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</si>
  <si>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</si>
  <si>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</si>
  <si>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</si>
  <si>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</si>
  <si>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</si>
  <si>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</si>
  <si>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</si>
  <si>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</si>
  <si>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</si>
  <si>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</si>
  <si>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</si>
  <si>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</si>
  <si>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</si>
  <si>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</si>
  <si>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</si>
  <si>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</si>
  <si>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</si>
  <si>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</si>
  <si>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</si>
  <si>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</si>
  <si>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</si>
  <si>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</si>
  <si>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</si>
  <si>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</si>
  <si>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</si>
  <si>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</si>
  <si>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</si>
  <si>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</si>
  <si>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</si>
  <si>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</si>
  <si>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</si>
  <si>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</si>
  <si>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</si>
  <si>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</si>
  <si>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</si>
  <si>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</si>
  <si>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</si>
  <si>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</si>
  <si>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</si>
  <si>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</si>
  <si>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</si>
  <si>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</si>
  <si>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</si>
  <si>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</si>
  <si>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</si>
  <si>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</si>
  <si>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</si>
  <si>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</si>
  <si>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</si>
  <si>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</si>
  <si>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</si>
  <si>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</si>
  <si>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</si>
  <si>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</si>
  <si>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</si>
  <si>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</si>
  <si>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</si>
  <si>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</si>
  <si>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</si>
  <si>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</si>
  <si>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</si>
  <si>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</si>
  <si>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</si>
  <si>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</si>
  <si>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</si>
  <si>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</si>
  <si>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</si>
  <si>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</si>
  <si>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</si>
  <si>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</si>
  <si>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</si>
  <si>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</si>
  <si>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</si>
  <si>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</si>
  <si>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</si>
  <si>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</si>
  <si>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</si>
  <si>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</si>
  <si>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</si>
  <si>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</si>
  <si>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</si>
  <si>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</si>
  <si>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</si>
  <si>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</si>
  <si>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</si>
  <si>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</si>
  <si>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</si>
  <si>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</si>
  <si>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</si>
  <si>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</si>
  <si>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</si>
  <si>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</si>
  <si>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</si>
  <si>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</si>
  <si>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</si>
  <si>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</si>
  <si>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</si>
  <si>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</si>
  <si>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</si>
  <si>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</si>
  <si>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</si>
  <si>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</si>
  <si>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</si>
  <si>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</si>
  <si>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</si>
  <si>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</si>
  <si>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</si>
  <si>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</si>
  <si>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</si>
  <si>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</si>
  <si>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</si>
  <si>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</si>
  <si>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</si>
  <si>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</si>
  <si>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</si>
  <si>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</si>
  <si>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</si>
  <si>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</si>
  <si>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</si>
  <si>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</si>
  <si>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</si>
  <si>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</si>
  <si>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</si>
  <si>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</si>
  <si>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</si>
  <si>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</si>
  <si>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</si>
  <si>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</si>
  <si>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</si>
  <si>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</si>
  <si>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</si>
  <si>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</si>
  <si>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</si>
  <si>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</si>
  <si>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</si>
  <si>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</si>
  <si>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</si>
  <si>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</si>
  <si>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</si>
  <si>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</si>
  <si>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</si>
  <si>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</si>
  <si>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</si>
  <si>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</si>
  <si>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</si>
  <si>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</si>
  <si>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</si>
  <si>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</si>
  <si>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</si>
  <si>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</si>
  <si>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</si>
  <si>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</si>
  <si>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</si>
  <si>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</si>
  <si>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</si>
  <si>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</si>
  <si>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</si>
  <si>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</si>
  <si>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</si>
  <si>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</si>
  <si>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</si>
  <si>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</si>
  <si>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</si>
  <si>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</si>
  <si>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</si>
  <si>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</si>
  <si>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</si>
  <si>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</si>
  <si>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</si>
  <si>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</si>
  <si>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</si>
  <si>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</si>
  <si>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</si>
  <si>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</si>
  <si>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</si>
  <si>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</si>
  <si>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</si>
  <si>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</si>
  <si>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</si>
  <si>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</si>
  <si>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</si>
  <si>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</si>
  <si>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</si>
  <si>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</si>
  <si>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</si>
  <si>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</si>
  <si>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</si>
  <si>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</si>
  <si>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</si>
  <si>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</si>
  <si>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</si>
  <si>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</si>
  <si>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</si>
  <si>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</si>
  <si>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</si>
  <si>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</si>
  <si>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</si>
  <si>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</si>
  <si>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</si>
  <si>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</si>
  <si>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</si>
  <si>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</si>
  <si>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</si>
  <si>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</si>
  <si>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</si>
  <si>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</si>
  <si>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</si>
  <si>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</si>
  <si>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</si>
  <si>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</si>
  <si>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</si>
  <si>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</si>
  <si>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</si>
  <si>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</si>
  <si>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</si>
  <si>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</si>
  <si>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</si>
  <si>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</si>
  <si>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</si>
  <si>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mexico - japon - usa - china - rusia</t>
  </si>
  <si>
    <t>378 - 340</t>
  </si>
  <si>
    <t>11 de octubre 2021</t>
  </si>
  <si>
    <t>520 mangos - 140 manzanas</t>
  </si>
  <si>
    <t>GOTA820521HVZMLP02</t>
  </si>
  <si>
    <t xml:space="preserve">11 trabadores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</si>
</sst>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* #,##0.00_-;\-&quot;$&quot;* #,##0.00_-;_-&quot;$&quot;* &quot;-&quot;??_-;_-@_-"/>
    <numFmt numFmtId="164" formatCode="[$-F800]dddd\,\ mmmm\ dd\,\ yyyy"/>
    <numFmt numFmtId="166" formatCode="0.0"/>
    <numFmt numFmtId="167" formatCode="[$$-540A]#,##0.00;[Red][$$-540A]#,##0.00"/>
    <numFmt numFmtId="168" formatCode="0_ ;[Red]\-0\ "/>
    <numFmt numFmtId="174" formatCode="_-[$€-2]\ * #,##0.00_-;\-[$€-2]\ * #,##0.00_-;_-[$€-2]\ * &quot;-&quot;??_-;_-@_-"/>
  </numFmts>
  <fonts count="8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0" xfId="0" applyAlignment="1">
      <alignment wrapText="1"/>
    </xf>
    <xf numFmtId="14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/>
    <xf numFmtId="168" fontId="0" fillId="0" borderId="1" xfId="0" applyNumberFormat="1" applyBorder="1"/>
    <xf numFmtId="49" fontId="0" fillId="0" borderId="1" xfId="0" applyNumberFormat="1" applyBorder="1"/>
    <xf numFmtId="1" fontId="0" fillId="0" borderId="1" xfId="0" applyNumberFormat="1" applyBorder="1"/>
    <xf numFmtId="10" fontId="0" fillId="0" borderId="1" xfId="2" applyNumberFormat="1" applyFont="1" applyBorder="1"/>
    <xf numFmtId="2" fontId="0" fillId="0" borderId="1" xfId="0" applyNumberFormat="1" applyBorder="1"/>
    <xf numFmtId="164" fontId="0" fillId="0" borderId="1" xfId="0" applyNumberFormat="1" applyBorder="1"/>
    <xf numFmtId="12" fontId="0" fillId="0" borderId="1" xfId="0" applyNumberFormat="1" applyBorder="1"/>
    <xf numFmtId="44" fontId="0" fillId="0" borderId="1" xfId="1" applyNumberFormat="1" applyFont="1" applyBorder="1"/>
    <xf numFmtId="167" fontId="0" fillId="0" borderId="1" xfId="0" applyNumberFormat="1" applyBorder="1"/>
    <xf numFmtId="0" fontId="3" fillId="2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66" fontId="0" fillId="0" borderId="1" xfId="0" applyNumberFormat="1" applyBorder="1"/>
    <xf numFmtId="4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49" fontId="0" fillId="2" borderId="1" xfId="0" applyNumberFormat="1" applyFill="1" applyBorder="1"/>
    <xf numFmtId="14" fontId="0" fillId="0" borderId="1" xfId="0" applyNumberFormat="1" applyBorder="1"/>
    <xf numFmtId="39" fontId="0" fillId="0" borderId="1" xfId="0" applyNumberFormat="1" applyBorder="1"/>
    <xf numFmtId="174" fontId="0" fillId="0" borderId="1" xfId="0" applyNumberFormat="1" applyBorder="1"/>
  </cellXfs>
  <cellStyles count="3">
    <cellStyle name="Moneda" xfId="1" builtinId="4"/>
    <cellStyle name="Normal" xfId="0" builtinId="0"/>
    <cellStyle name="Porcentaje" xfId="2" builtinId="5"/>
  </cellStyles>
  <dxfs count="8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64:L142" totalsRowCount="1">
  <autoFilter ref="A64:L141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 totalsRowFunction="sum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topLeftCell="A7" workbookViewId="0">
      <selection activeCell="C26" sqref="C26:D26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9" t="s">
        <v>0</v>
      </c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3" spans="1:7" x14ac:dyDescent="0.25">
      <c r="A3" s="9"/>
      <c r="B3" s="9"/>
      <c r="C3" s="9"/>
      <c r="D3" s="9"/>
      <c r="E3" s="9"/>
      <c r="F3" s="9"/>
      <c r="G3" s="9"/>
    </row>
    <row r="4" spans="1:7" x14ac:dyDescent="0.25">
      <c r="A4" s="9"/>
      <c r="B4" s="9"/>
      <c r="C4" s="9"/>
      <c r="D4" s="9"/>
      <c r="E4" s="9"/>
      <c r="F4" s="9"/>
      <c r="G4" s="9"/>
    </row>
    <row r="5" spans="1:7" x14ac:dyDescent="0.25">
      <c r="A5" s="9"/>
      <c r="B5" s="9"/>
      <c r="C5" s="9"/>
      <c r="D5" s="9"/>
      <c r="E5" s="9"/>
      <c r="F5" s="9"/>
      <c r="G5" s="9"/>
    </row>
    <row r="7" spans="1:7" x14ac:dyDescent="0.25">
      <c r="A7" s="10" t="s">
        <v>21</v>
      </c>
      <c r="B7" s="10"/>
      <c r="C7" s="10"/>
      <c r="D7" s="10"/>
      <c r="E7" s="10"/>
      <c r="F7" s="10"/>
      <c r="G7" s="10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1" t="s">
        <v>10</v>
      </c>
      <c r="B9" s="11"/>
      <c r="C9" s="12">
        <v>18.2</v>
      </c>
      <c r="D9" s="12"/>
    </row>
    <row r="10" spans="1:7" x14ac:dyDescent="0.25">
      <c r="A10" s="11" t="s">
        <v>6</v>
      </c>
      <c r="B10" s="11"/>
      <c r="C10" s="28" t="s">
        <v>241</v>
      </c>
      <c r="D10" s="28"/>
    </row>
    <row r="11" spans="1:7" x14ac:dyDescent="0.25">
      <c r="A11" s="11" t="s">
        <v>10</v>
      </c>
      <c r="B11" s="11"/>
      <c r="C11" s="14">
        <v>15.5</v>
      </c>
      <c r="D11" s="14"/>
    </row>
    <row r="12" spans="1:7" x14ac:dyDescent="0.25">
      <c r="A12" s="11" t="s">
        <v>7</v>
      </c>
      <c r="B12" s="11"/>
      <c r="C12" s="29">
        <v>44421</v>
      </c>
      <c r="D12" s="29"/>
    </row>
    <row r="13" spans="1:7" x14ac:dyDescent="0.25">
      <c r="A13" s="11" t="s">
        <v>8</v>
      </c>
      <c r="B13" s="11"/>
      <c r="C13" s="15">
        <v>0.35239999999999999</v>
      </c>
      <c r="D13" s="15"/>
    </row>
    <row r="14" spans="1:7" x14ac:dyDescent="0.25">
      <c r="A14" s="11" t="s">
        <v>9</v>
      </c>
      <c r="B14" s="11"/>
      <c r="C14" s="16">
        <v>25.2</v>
      </c>
      <c r="D14" s="16"/>
    </row>
    <row r="15" spans="1:7" x14ac:dyDescent="0.25">
      <c r="A15" s="11" t="s">
        <v>10</v>
      </c>
      <c r="B15" s="11"/>
      <c r="C15" s="12">
        <v>12.59</v>
      </c>
      <c r="D15" s="12"/>
    </row>
    <row r="16" spans="1:7" x14ac:dyDescent="0.25">
      <c r="A16" s="11" t="s">
        <v>11</v>
      </c>
      <c r="B16" s="11"/>
      <c r="C16" s="17">
        <v>44421</v>
      </c>
      <c r="D16" s="17"/>
    </row>
    <row r="17" spans="1:9" x14ac:dyDescent="0.25">
      <c r="A17" s="11" t="s">
        <v>12</v>
      </c>
      <c r="B17" s="11"/>
      <c r="C17" s="18">
        <v>1.5</v>
      </c>
      <c r="D17" s="18"/>
    </row>
    <row r="18" spans="1:9" x14ac:dyDescent="0.25">
      <c r="A18" s="11" t="s">
        <v>13</v>
      </c>
      <c r="B18" s="11"/>
      <c r="C18" s="25">
        <v>1215</v>
      </c>
      <c r="D18" s="25"/>
      <c r="F18" s="5" t="s">
        <v>18</v>
      </c>
      <c r="G18" s="5" t="s">
        <v>19</v>
      </c>
    </row>
    <row r="19" spans="1:9" x14ac:dyDescent="0.25">
      <c r="A19" s="11" t="s">
        <v>6</v>
      </c>
      <c r="B19" s="11"/>
      <c r="C19" s="13" t="s">
        <v>239</v>
      </c>
      <c r="D19" s="13"/>
    </row>
    <row r="20" spans="1:9" x14ac:dyDescent="0.25">
      <c r="A20" s="11" t="s">
        <v>14</v>
      </c>
      <c r="B20" s="11"/>
      <c r="C20" s="19">
        <v>520</v>
      </c>
      <c r="D20" s="19"/>
    </row>
    <row r="21" spans="1:9" x14ac:dyDescent="0.25">
      <c r="A21" s="11" t="s">
        <v>15</v>
      </c>
      <c r="B21" s="11"/>
      <c r="C21" s="20">
        <v>560</v>
      </c>
      <c r="D21" s="20"/>
    </row>
    <row r="22" spans="1:9" x14ac:dyDescent="0.25">
      <c r="A22" s="11" t="s">
        <v>6</v>
      </c>
      <c r="B22" s="11"/>
      <c r="C22" s="13" t="s">
        <v>238</v>
      </c>
      <c r="D22" s="13"/>
    </row>
    <row r="23" spans="1:9" x14ac:dyDescent="0.25">
      <c r="A23" s="11" t="s">
        <v>16</v>
      </c>
      <c r="B23" s="11"/>
      <c r="C23" s="24">
        <v>12.33</v>
      </c>
      <c r="D23" s="24"/>
    </row>
    <row r="24" spans="1:9" x14ac:dyDescent="0.25">
      <c r="A24" s="11" t="s">
        <v>12</v>
      </c>
      <c r="B24" s="11"/>
      <c r="C24" s="18">
        <v>12.3</v>
      </c>
      <c r="D24" s="18"/>
    </row>
    <row r="25" spans="1:9" x14ac:dyDescent="0.25">
      <c r="A25" s="11" t="s">
        <v>13</v>
      </c>
      <c r="B25" s="11"/>
      <c r="C25" s="30">
        <v>5155</v>
      </c>
      <c r="D25" s="30"/>
      <c r="F25" s="5" t="s">
        <v>18</v>
      </c>
      <c r="G25" s="21" t="s">
        <v>20</v>
      </c>
      <c r="H25" s="21"/>
    </row>
    <row r="26" spans="1:9" x14ac:dyDescent="0.25">
      <c r="A26" s="11" t="s">
        <v>17</v>
      </c>
      <c r="B26" s="11"/>
      <c r="C26" s="31">
        <v>300</v>
      </c>
      <c r="D26" s="31"/>
    </row>
    <row r="29" spans="1:9" x14ac:dyDescent="0.25">
      <c r="A29" s="22" t="s">
        <v>23</v>
      </c>
      <c r="B29" s="23"/>
      <c r="C29" s="23"/>
      <c r="D29" s="23"/>
      <c r="E29" s="23"/>
      <c r="F29" s="23"/>
      <c r="G29" s="23"/>
      <c r="H29" s="23"/>
      <c r="I29" s="23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22" t="s">
        <v>31</v>
      </c>
      <c r="B45" s="23"/>
      <c r="C45" s="23"/>
      <c r="D45" s="23"/>
      <c r="E45" s="23"/>
      <c r="F45" s="23"/>
      <c r="G45" s="23"/>
      <c r="H45" s="23"/>
      <c r="I45" s="23"/>
    </row>
    <row r="47" spans="1:9" x14ac:dyDescent="0.25">
      <c r="A47" s="27" t="s">
        <v>1</v>
      </c>
      <c r="B47" s="27"/>
      <c r="C47" s="2">
        <v>0.35</v>
      </c>
      <c r="D47" s="1"/>
      <c r="E47" s="1"/>
    </row>
    <row r="48" spans="1:9" x14ac:dyDescent="0.25">
      <c r="A48" s="27" t="s">
        <v>2</v>
      </c>
      <c r="B48" s="27"/>
      <c r="C48" s="2">
        <v>101</v>
      </c>
      <c r="D48" s="1"/>
      <c r="E48" s="1"/>
    </row>
    <row r="49" spans="1:12" x14ac:dyDescent="0.25">
      <c r="A49" s="27" t="s">
        <v>3</v>
      </c>
      <c r="B49" s="27"/>
      <c r="C49" s="8">
        <v>44421</v>
      </c>
      <c r="D49" s="1"/>
      <c r="E49" s="1"/>
    </row>
    <row r="50" spans="1:12" x14ac:dyDescent="0.25">
      <c r="A50" s="27" t="s">
        <v>32</v>
      </c>
      <c r="B50" s="27"/>
      <c r="C50" s="2">
        <v>30</v>
      </c>
      <c r="D50" s="1"/>
      <c r="E50" s="1"/>
    </row>
    <row r="51" spans="1:12" x14ac:dyDescent="0.25">
      <c r="A51" s="27" t="s">
        <v>4</v>
      </c>
      <c r="B51" s="27"/>
      <c r="C51" s="2" t="s">
        <v>240</v>
      </c>
      <c r="D51" s="1"/>
      <c r="E51" s="1"/>
    </row>
    <row r="52" spans="1:12" x14ac:dyDescent="0.25">
      <c r="A52" s="27" t="s">
        <v>5</v>
      </c>
      <c r="B52" s="27"/>
      <c r="C52" s="2" t="s">
        <v>236</v>
      </c>
      <c r="D52" s="1"/>
      <c r="E52" s="1"/>
    </row>
    <row r="55" spans="1:12" x14ac:dyDescent="0.25">
      <c r="A55" s="22" t="s">
        <v>229</v>
      </c>
      <c r="B55" s="23"/>
      <c r="C55" s="23"/>
      <c r="D55" s="23"/>
      <c r="E55" s="23"/>
      <c r="F55" s="23"/>
      <c r="G55" s="23"/>
      <c r="H55" s="23"/>
      <c r="I55" s="23"/>
    </row>
    <row r="57" spans="1:12" x14ac:dyDescent="0.25">
      <c r="A57" s="26" t="s">
        <v>230</v>
      </c>
      <c r="B57" s="26"/>
      <c r="C57" s="4">
        <v>10</v>
      </c>
    </row>
    <row r="58" spans="1:12" x14ac:dyDescent="0.25">
      <c r="A58" s="26" t="s">
        <v>232</v>
      </c>
      <c r="B58" s="26"/>
      <c r="C58" s="4">
        <v>559</v>
      </c>
    </row>
    <row r="59" spans="1:12" x14ac:dyDescent="0.25">
      <c r="A59" s="26" t="s">
        <v>233</v>
      </c>
      <c r="B59" s="26"/>
      <c r="C59" s="4">
        <v>8</v>
      </c>
    </row>
    <row r="60" spans="1:12" x14ac:dyDescent="0.25">
      <c r="A60" s="26" t="s">
        <v>234</v>
      </c>
      <c r="B60" s="26"/>
      <c r="C60" s="4">
        <v>5</v>
      </c>
    </row>
    <row r="61" spans="1:12" x14ac:dyDescent="0.25">
      <c r="A61" s="26" t="s">
        <v>235</v>
      </c>
      <c r="B61" s="26"/>
      <c r="C61" s="4" t="s">
        <v>237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 s="7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 t="s">
        <v>231</v>
      </c>
      <c r="G142">
        <f>SUBTOTAL(109,Tabla2[Cantidad Por Unidad])</f>
        <v>0</v>
      </c>
      <c r="I142">
        <f>SUBTOTAL(109,Tabla2[Unidades En Existencia])</f>
        <v>3119</v>
      </c>
      <c r="L142">
        <f>SUBTOTAL(103,Tabla2[Suspendido])</f>
        <v>77</v>
      </c>
    </row>
  </sheetData>
  <dataConsolidate/>
  <mergeCells count="53">
    <mergeCell ref="A61:B61"/>
    <mergeCell ref="A47:B47"/>
    <mergeCell ref="A48:B48"/>
    <mergeCell ref="A49:B49"/>
    <mergeCell ref="A50:B50"/>
    <mergeCell ref="A51:B51"/>
    <mergeCell ref="A52:B52"/>
    <mergeCell ref="A60:B60"/>
    <mergeCell ref="A45:I45"/>
    <mergeCell ref="A55:I55"/>
    <mergeCell ref="A57:B57"/>
    <mergeCell ref="A58:B58"/>
    <mergeCell ref="A59:B59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:G5"/>
    <mergeCell ref="A7:G7"/>
    <mergeCell ref="A9:B9"/>
    <mergeCell ref="C9:D9"/>
    <mergeCell ref="A10:B10"/>
    <mergeCell ref="C10:D10"/>
  </mergeCells>
  <conditionalFormatting sqref="E32:E4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{1E744275-4B3B-4CF2-91AF-64894176FC34}</x14:id>
        </ext>
      </extLst>
    </cfRule>
  </conditionalFormatting>
  <conditionalFormatting sqref="B32:B43">
    <cfRule type="containsText" dxfId="7" priority="8" operator="containsText" text="Armando">
      <formula>NOT(ISERROR(SEARCH("Armando",B32)))</formula>
    </cfRule>
    <cfRule type="containsText" dxfId="6" priority="7" operator="containsText" text="Leticia">
      <formula>NOT(ISERROR(SEARCH("Leticia",B32)))</formula>
    </cfRule>
    <cfRule type="containsText" dxfId="5" priority="6" operator="containsText" text="pedro">
      <formula>NOT(ISERROR(SEARCH("pedro",B32)))</formula>
    </cfRule>
  </conditionalFormatting>
  <conditionalFormatting sqref="A32:A43">
    <cfRule type="cellIs" dxfId="4" priority="5" operator="lessThan">
      <formula>52</formula>
    </cfRule>
    <cfRule type="cellIs" dxfId="3" priority="4" operator="lessThan">
      <formula>50</formula>
    </cfRule>
    <cfRule type="cellIs" dxfId="2" priority="3" operator="lessThan">
      <formula>50</formula>
    </cfRule>
  </conditionalFormatting>
  <conditionalFormatting sqref="C32:C43">
    <cfRule type="top10" dxfId="1" priority="2" rank="3"/>
  </conditionalFormatting>
  <conditionalFormatting sqref="D32:D43">
    <cfRule type="duplicateValues" dxfId="0" priority="1"/>
  </conditionalFormatting>
  <dataValidations count="6">
    <dataValidation type="list" allowBlank="1" showInputMessage="1" showErrorMessage="1" error="detente no se puede lee el mensaje" promptTitle="advertencia" prompt="solo se permiten 5 paises" sqref="C52">
      <formula1>"mexico - japon - usa - china - rusia"</formula1>
    </dataValidation>
    <dataValidation type="whole" operator="greaterThan" allowBlank="1" showInputMessage="1" showErrorMessage="1" prompt="solo numeros mayores a 100" sqref="C48">
      <formula1>100</formula1>
    </dataValidation>
    <dataValidation type="date" allowBlank="1" showInputMessage="1" showErrorMessage="1" prompt="solo fechas del año 2021" sqref="C49">
      <formula1>44197</formula1>
      <formula2>44561</formula2>
    </dataValidation>
    <dataValidation type="whole" operator="notBetween" allowBlank="1" showInputMessage="1" showErrorMessage="1" sqref="C50">
      <formula1>10</formula1>
      <formula2>20</formula2>
    </dataValidation>
    <dataValidation type="decimal" operator="lessThan" allowBlank="1" showInputMessage="1" showErrorMessage="1" prompt="solo decimales" sqref="C47">
      <formula1>1</formula1>
    </dataValidation>
    <dataValidation type="textLength" operator="equal" allowBlank="1" showInputMessage="1" showErrorMessage="1" sqref="C51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744275-4B3B-4CF2-91AF-64894176FC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E32:E43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Ejercicios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sipaba</cp:lastModifiedBy>
  <cp:lastPrinted>2021-04-23T15:04:58Z</cp:lastPrinted>
  <dcterms:created xsi:type="dcterms:W3CDTF">2021-04-23T13:59:34Z</dcterms:created>
  <dcterms:modified xsi:type="dcterms:W3CDTF">2021-10-11T19:12:14Z</dcterms:modified>
</cp:coreProperties>
</file>