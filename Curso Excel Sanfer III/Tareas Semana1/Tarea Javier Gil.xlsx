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paba\Documents\"/>
    </mc:Choice>
  </mc:AlternateContent>
  <bookViews>
    <workbookView xWindow="0" yWindow="0" windowWidth="20490" windowHeight="8340"/>
  </bookViews>
  <sheets>
    <sheet name="Ejercicios" sheetId="2" r:id="rId1"/>
    <sheet name="Hoja1" sheetId="4" r:id="rId2"/>
    <sheet name="Hoja3" sheetId="3" state="hidden" r:id="rId3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42" i="2" l="1"/>
  <c r="G142" i="2"/>
  <c r="K142" i="2"/>
  <c r="J142" i="2"/>
  <c r="I142" i="2"/>
  <c r="L142" i="2"/>
  <c r="I79" i="3"/>
  <c r="L79" i="3"/>
</calcChain>
</file>

<file path=xl/comments1.xml><?xml version="1.0" encoding="utf-8"?>
<comments xmlns="http://schemas.openxmlformats.org/spreadsheetml/2006/main">
  <authors>
    <author>BUSTAMANTE</author>
  </authors>
  <commentList>
    <comment ref="A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Rojo las celdas con valores menores a 50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las fuentes basados en la siguiente lista:
Armando - Verde
Leticia - Rojo
Pedro - Azul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Pintar de Verde las 3 celdas con valores mas altos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Colorear de rojo los valores Repetidos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BUSTAMANTE:</t>
        </r>
        <r>
          <rPr>
            <sz val="9"/>
            <color indexed="81"/>
            <rFont val="Tahoma"/>
            <family val="2"/>
          </rPr>
          <t xml:space="preserve">
Resalta los valores de la tabla con barras de color rojo.</t>
        </r>
      </text>
    </comment>
  </commentList>
</comments>
</file>

<file path=xl/sharedStrings.xml><?xml version="1.0" encoding="utf-8"?>
<sst xmlns="http://schemas.openxmlformats.org/spreadsheetml/2006/main" count="706" uniqueCount="242">
  <si>
    <t>CURSO MS EXCEL NIVEL INTERMEDIO SEMANA 1 BLOQUE 1 INTRODUCCION A LOS DATOS</t>
  </si>
  <si>
    <t>EJERCICIO 1 - SOLO PERMITIR NÚMEROS NEGATIVOS CON 2 DECIMALES</t>
  </si>
  <si>
    <t>EJERCICIO 2 - PERMIRIT SOLO NÚMEROS ENTEROS MAYORES A 100</t>
  </si>
  <si>
    <t>EJERCICIO 3 - PERMITIR SOLO FECHAS DEL AÑO 2021</t>
  </si>
  <si>
    <t>EJERICICIO 5 - VALIDAR LA CURP CON 18 CARACTERES</t>
  </si>
  <si>
    <t>EJERCICIO 6 - CREAR UNA LISTA DE 5 PAISES</t>
  </si>
  <si>
    <t>Textos</t>
  </si>
  <si>
    <t>Fecha corta</t>
  </si>
  <si>
    <t>Procentaje</t>
  </si>
  <si>
    <t>Números con 2 decimales</t>
  </si>
  <si>
    <t>Números Enteros</t>
  </si>
  <si>
    <t>Fecha Larga</t>
  </si>
  <si>
    <t>Fracciones</t>
  </si>
  <si>
    <t>Personalizada</t>
  </si>
  <si>
    <t>Contabilidad</t>
  </si>
  <si>
    <t>Moneda en USD</t>
  </si>
  <si>
    <t>Número con 1 decimal</t>
  </si>
  <si>
    <t>Contabilidad en Euros</t>
  </si>
  <si>
    <t>Ejemplo:</t>
  </si>
  <si>
    <t>2021-TEH-001</t>
  </si>
  <si>
    <t>0000-0000-0000-0001</t>
  </si>
  <si>
    <t>Practica1 - Aplicar formato de celda a la tabla de acuerdo a los requisitos.</t>
  </si>
  <si>
    <t>Ejercicio1</t>
  </si>
  <si>
    <t>Practica2 - Formato de celda, aplica las condiciones a cada grupo de celdas basados en el cometario de cada columna.</t>
  </si>
  <si>
    <t>Ejercicio2</t>
  </si>
  <si>
    <t>Armando</t>
  </si>
  <si>
    <t>Leticia</t>
  </si>
  <si>
    <t>Pedro</t>
  </si>
  <si>
    <t>Ejericicio3</t>
  </si>
  <si>
    <t>Ejericicio4</t>
  </si>
  <si>
    <t>Ejericicio5</t>
  </si>
  <si>
    <t>Practica3 - Validaciones, configura la lista de ejercicios, deberás incluir mensajes de entrada y salida para cada una.</t>
  </si>
  <si>
    <t>EJERICICO 4 - PERMITIR NÚMEROS QUE NO ESTEN ENTRE 10 Y 20</t>
  </si>
  <si>
    <t>Id Producto</t>
  </si>
  <si>
    <t>Nombre Producto</t>
  </si>
  <si>
    <t>Id Proveedor</t>
  </si>
  <si>
    <t>Nombre de Proveedor</t>
  </si>
  <si>
    <t>Id Categoría</t>
  </si>
  <si>
    <t>Nombre Categoria</t>
  </si>
  <si>
    <t>Cantidad Por Unidad</t>
  </si>
  <si>
    <t>Precio Unidad</t>
  </si>
  <si>
    <t>Unidades En Existencia</t>
  </si>
  <si>
    <t>Unidades En Pedido</t>
  </si>
  <si>
    <t>Nivel Nuevo Pedido</t>
  </si>
  <si>
    <t>Suspendido</t>
  </si>
  <si>
    <t>Postre de merengue Pavlova</t>
  </si>
  <si>
    <t>Pavlova, Ltd.</t>
  </si>
  <si>
    <t>reaaaa</t>
  </si>
  <si>
    <t>32 - cajas 500 g</t>
  </si>
  <si>
    <t>Licor verde Chartreuse</t>
  </si>
  <si>
    <t>Aux joyeux ecclésiastiques</t>
  </si>
  <si>
    <t>Bebidas</t>
  </si>
  <si>
    <t>750 cc por bot.</t>
  </si>
  <si>
    <t>Queso Manchego La Pastora</t>
  </si>
  <si>
    <t>Cooperativa de Quesos 'Las Cabras'</t>
  </si>
  <si>
    <t>Lácteos</t>
  </si>
  <si>
    <t>10 - paq. 500 g</t>
  </si>
  <si>
    <t>Cerveza Laughing Lumberjack</t>
  </si>
  <si>
    <t>Bigfoot Breweries</t>
  </si>
  <si>
    <t>24 - bot. 12 l</t>
  </si>
  <si>
    <t>Col fermentada Rössle</t>
  </si>
  <si>
    <t>Plutzer Lebensmittelgroßmärkte AG</t>
  </si>
  <si>
    <t>Frutas/Verduras</t>
  </si>
  <si>
    <t>25 - latas 825 g</t>
  </si>
  <si>
    <t>Refresco Guaraná Fantástica</t>
  </si>
  <si>
    <t>Refrescos Americanas LTDA</t>
  </si>
  <si>
    <t>12 - latas 355 ml</t>
  </si>
  <si>
    <t>Raclet de queso Courdavault</t>
  </si>
  <si>
    <t>Gai pâturage</t>
  </si>
  <si>
    <t>paq. 5 kg</t>
  </si>
  <si>
    <t>Langostinos tigre Carnarvon</t>
  </si>
  <si>
    <t>Pescado/Marisco</t>
  </si>
  <si>
    <t>paq. 16 kg</t>
  </si>
  <si>
    <t>Raviolis Angelo</t>
  </si>
  <si>
    <t>Pasta Buttini s.r.l.</t>
  </si>
  <si>
    <t>Granos/Cereales</t>
  </si>
  <si>
    <t>24 - paq. 250 g</t>
  </si>
  <si>
    <t>Arenque blanco del noroeste</t>
  </si>
  <si>
    <t>Nord-Ost-Fisch Handelsgesellschaft mbH</t>
  </si>
  <si>
    <t>10 - vasos 200 g</t>
  </si>
  <si>
    <t>Ositos de goma Gumbär</t>
  </si>
  <si>
    <t>Heli Süßwaren GmbH &amp; Co. KG</t>
  </si>
  <si>
    <t>100 - bolsas 250 g</t>
  </si>
  <si>
    <t>Crema de chocolate y nueces NuNuCa</t>
  </si>
  <si>
    <t>20 - vasos  450 g</t>
  </si>
  <si>
    <t>Mermelada de grosellas de la abuela</t>
  </si>
  <si>
    <t>Grandma Kelly's Homestead</t>
  </si>
  <si>
    <t>Condimentos</t>
  </si>
  <si>
    <t>12 - frascos 8 l</t>
  </si>
  <si>
    <t>Queso de cabra</t>
  </si>
  <si>
    <t>Norske Meierier</t>
  </si>
  <si>
    <t>500 g</t>
  </si>
  <si>
    <t>Barras de pan de Escocia</t>
  </si>
  <si>
    <t>Specialty Biscuits, Ltd.</t>
  </si>
  <si>
    <t>10 cajas x 8 porc.</t>
  </si>
  <si>
    <t>Galletas Zaanse</t>
  </si>
  <si>
    <t>Zaanse Snoepfabriek</t>
  </si>
  <si>
    <t>10 - cajas 4 l</t>
  </si>
  <si>
    <t>Chocolate Schoggi</t>
  </si>
  <si>
    <t>100 - piezas 100 g</t>
  </si>
  <si>
    <t>Salsa verde original Frankfurter</t>
  </si>
  <si>
    <t>12 cajas</t>
  </si>
  <si>
    <t>Arenque salado</t>
  </si>
  <si>
    <t>Lyngbysild</t>
  </si>
  <si>
    <t>4 - vasos 450 g</t>
  </si>
  <si>
    <t>Salsa de arándanos Northwoods</t>
  </si>
  <si>
    <t>12 - frascos 12 l</t>
  </si>
  <si>
    <t>Cerveza negra Steeleye</t>
  </si>
  <si>
    <t>Queso de soja Longlife</t>
  </si>
  <si>
    <t>Tokyo Traders</t>
  </si>
  <si>
    <t>Queso Cabrales</t>
  </si>
  <si>
    <t>paq. 1 kg</t>
  </si>
  <si>
    <t>Escabeche de arenque</t>
  </si>
  <si>
    <t>Svensk Sjöföda AB</t>
  </si>
  <si>
    <t>24 - frascos 250 g</t>
  </si>
  <si>
    <t>Peras secas orgánicas del tío Bob</t>
  </si>
  <si>
    <t>12 - paq. 1 kg</t>
  </si>
  <si>
    <t>Vino Côte de Blaye</t>
  </si>
  <si>
    <t>12 - bot. 75 cl</t>
  </si>
  <si>
    <t>Especias Cajun del chef Anton</t>
  </si>
  <si>
    <t>New Orleans Cajun Delights</t>
  </si>
  <si>
    <t>48 - frascos 6 l</t>
  </si>
  <si>
    <t>Crema de almejas estilo Nueva Inglaterra</t>
  </si>
  <si>
    <t>New England Seafood Cannery</t>
  </si>
  <si>
    <t>12 - latas 12 l</t>
  </si>
  <si>
    <t>Cordero Alice Springs</t>
  </si>
  <si>
    <t>Carnes</t>
  </si>
  <si>
    <t>20 - latas 1 kg</t>
  </si>
  <si>
    <t>Algas Konbu</t>
  </si>
  <si>
    <t>Mayumi's</t>
  </si>
  <si>
    <t>caja 2 kg</t>
  </si>
  <si>
    <t>Bollos de pan de Wimmer</t>
  </si>
  <si>
    <t>20 bolsas x 4 porc.</t>
  </si>
  <si>
    <t>Salsa de pimiento picante de Luisiana</t>
  </si>
  <si>
    <t>32 - bot. 8 l</t>
  </si>
  <si>
    <t>Chocolate blanco</t>
  </si>
  <si>
    <t>Karkki Oy</t>
  </si>
  <si>
    <t>12 - barras 100 g</t>
  </si>
  <si>
    <t>Sandwich de vegetales</t>
  </si>
  <si>
    <t>15 - frascos 625 g</t>
  </si>
  <si>
    <t>Cerveza Klosterbier Rhönbräu</t>
  </si>
  <si>
    <t>24 - bot. 0,5 l</t>
  </si>
  <si>
    <t>Cereales para Filo</t>
  </si>
  <si>
    <t>G'day, Mate</t>
  </si>
  <si>
    <t>16 - cajas 2 kg</t>
  </si>
  <si>
    <t>Cerveza tibetana Barley</t>
  </si>
  <si>
    <t>Exotic Liquids</t>
  </si>
  <si>
    <t>Queso Gudbrandsdals</t>
  </si>
  <si>
    <t>paq. 10 kg</t>
  </si>
  <si>
    <t>Azúcar negra Malacca</t>
  </si>
  <si>
    <t>Leka Trading</t>
  </si>
  <si>
    <t>20 - bolsas 2 kg</t>
  </si>
  <si>
    <t>Camembert Pierrot</t>
  </si>
  <si>
    <t>15 - paq. 300 g</t>
  </si>
  <si>
    <t>Salmón ahumado Gravad</t>
  </si>
  <si>
    <t>12 - paq. 500 g</t>
  </si>
  <si>
    <t>Regaliz</t>
  </si>
  <si>
    <t>24 - paq. 50 g</t>
  </si>
  <si>
    <t>Manzanas secas Manjimup</t>
  </si>
  <si>
    <t>50 - paq. 300 g</t>
  </si>
  <si>
    <t>Empanada de cerdo</t>
  </si>
  <si>
    <t>Ma Maison</t>
  </si>
  <si>
    <t>16 tartas</t>
  </si>
  <si>
    <t>Tarta de azúcar</t>
  </si>
  <si>
    <t>Forêts d'érables</t>
  </si>
  <si>
    <t>48 tartas</t>
  </si>
  <si>
    <t>Tallarines de Singapur</t>
  </si>
  <si>
    <t>32 - 1 kg paq.</t>
  </si>
  <si>
    <t>Cerveza Outback</t>
  </si>
  <si>
    <t>24 - bot. 355 ml</t>
  </si>
  <si>
    <t>Mezcla Gumbo del chef Anton</t>
  </si>
  <si>
    <t>36 cajas</t>
  </si>
  <si>
    <t>Paté chino</t>
  </si>
  <si>
    <t>24 cajas x 2 tartas</t>
  </si>
  <si>
    <t>Cuajada de judías</t>
  </si>
  <si>
    <t>40 - paq. 100 g</t>
  </si>
  <si>
    <t>Carne de cangrejo de Boston</t>
  </si>
  <si>
    <t>24 - latas 4 l</t>
  </si>
  <si>
    <t>Té Dharamsala</t>
  </si>
  <si>
    <t>10 cajas x 20 bolsas</t>
  </si>
  <si>
    <t>Especias picantes de Luisiana</t>
  </si>
  <si>
    <t>24 - frascos 8 l</t>
  </si>
  <si>
    <t>Salsa de soja baja en sodio</t>
  </si>
  <si>
    <t>24 - bot. 250 ml</t>
  </si>
  <si>
    <t>Pastas de té de chocolate</t>
  </si>
  <si>
    <t>10 cajas x 12 piezas</t>
  </si>
  <si>
    <t>Queso Mozzarella Giovanni</t>
  </si>
  <si>
    <t>Formaggi Fortini s.r.l.</t>
  </si>
  <si>
    <t>24 - paq. 200 g</t>
  </si>
  <si>
    <t>Pan fino</t>
  </si>
  <si>
    <t>PB Knäckebröd AB</t>
  </si>
  <si>
    <t>12 - paq. 250 g</t>
  </si>
  <si>
    <t>Pan de centeno crujiente estilo Gustaf's</t>
  </si>
  <si>
    <t>24 - paq. 500 g</t>
  </si>
  <si>
    <t>Crema de queso Fløtemys</t>
  </si>
  <si>
    <t>Caviar rojo</t>
  </si>
  <si>
    <t>24 - frascos150 g</t>
  </si>
  <si>
    <t>Queso gorgonzola Telino</t>
  </si>
  <si>
    <t>12 - paq. 100 g</t>
  </si>
  <si>
    <t>Caracoles de Borgoña</t>
  </si>
  <si>
    <t>Escargots Nouveaux</t>
  </si>
  <si>
    <t>24 porc.</t>
  </si>
  <si>
    <t>Licor Cloudberry</t>
  </si>
  <si>
    <t>500 ml</t>
  </si>
  <si>
    <t>Queso Mascarpone Fabioli</t>
  </si>
  <si>
    <t>Cerveza Sasquatch</t>
  </si>
  <si>
    <t>Mermelada de Sir Rodney's</t>
  </si>
  <si>
    <t>30 cajas regalo</t>
  </si>
  <si>
    <t>Sirope de arce</t>
  </si>
  <si>
    <t>24 - bot. 500 ml</t>
  </si>
  <si>
    <t>Café de Malasia</t>
  </si>
  <si>
    <t>16 - latas 500 g</t>
  </si>
  <si>
    <t>Empanada de carne</t>
  </si>
  <si>
    <t>48 porc.</t>
  </si>
  <si>
    <t>Salchicha Thüringer</t>
  </si>
  <si>
    <t>50 bolsas x 30 salch</t>
  </si>
  <si>
    <t>Pez espada</t>
  </si>
  <si>
    <t>12 - frascos 200 ml</t>
  </si>
  <si>
    <t>Buey Mishi Kobe</t>
  </si>
  <si>
    <t>18 - paq. 500 g</t>
  </si>
  <si>
    <t>Sirope de regaliz</t>
  </si>
  <si>
    <t>12 - bot. 550 ml</t>
  </si>
  <si>
    <t>Arenque ahumado</t>
  </si>
  <si>
    <t>paq. 1k</t>
  </si>
  <si>
    <t>Bollos de Sir Rodney's</t>
  </si>
  <si>
    <t>24 paq. x 4 piezas</t>
  </si>
  <si>
    <t>Chocolate holandés</t>
  </si>
  <si>
    <t>10 paq.</t>
  </si>
  <si>
    <t>Gnocchi de la abuela Alicia</t>
  </si>
  <si>
    <t>Practica4 - Tablas, Responde cada una de las preguntas empleando las funciones de las tablas.</t>
  </si>
  <si>
    <t>1.- ¿Cuántos productos lacteos se tienen registrados?</t>
  </si>
  <si>
    <t>Total</t>
  </si>
  <si>
    <t>2.- ¿Cuántas unidades de existencias tiene el id Categoría 1?</t>
  </si>
  <si>
    <t>3.- ¿Cuántos productos estan suspendidos?</t>
  </si>
  <si>
    <t>4.- ¿Cuántos productos del proveedor Pavlova, Ltd. se tienen registrados?</t>
  </si>
  <si>
    <t>5.- ¿Cuántas unidades en existencia de Queso y Cerveza hay?</t>
  </si>
  <si>
    <t>30 toneladas de iniciacion</t>
  </si>
  <si>
    <t>03 tacos 1 refresco</t>
  </si>
  <si>
    <t>30 paletas y 2 cacahuates</t>
  </si>
  <si>
    <t xml:space="preserve">378 - 340 </t>
  </si>
  <si>
    <t>paris - china - africa - hoduras - korea</t>
  </si>
  <si>
    <t>SASO750909HDFNNS05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</si>
</sst>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5" formatCode="0_ ;\-0\ "/>
    <numFmt numFmtId="166" formatCode="[$-80A]dddd\ d&quot; de &quot;mmmm&quot; de &quot;yyyy;@"/>
    <numFmt numFmtId="167" formatCode="_-[$$-80A]* #,##0.000_-;\-[$$-80A]* #,##0.000_-;_-[$$-80A]* &quot;-&quot;???_-;_-@_-"/>
    <numFmt numFmtId="168" formatCode="[$$-540A]#,##0.00"/>
    <numFmt numFmtId="169" formatCode="0.0"/>
    <numFmt numFmtId="170" formatCode="#\ ?/4"/>
    <numFmt numFmtId="176" formatCode="_-[$€-2]\ * #,##0.00_-;\-[$€-2]\ * #,##0.00_-;_-[$€-2]\ * &quot;-&quot;??_-;_-@_-"/>
  </numFmts>
  <fonts count="7" x14ac:knownFonts="1">
    <font>
      <sz val="11"/>
      <color theme="1"/>
      <name val="Calibri"/>
      <family val="2"/>
      <scheme val="minor"/>
    </font>
    <font>
      <i/>
      <u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0" xfId="0" applyAlignment="1">
      <alignment horizontal="left"/>
    </xf>
    <xf numFmtId="0" fontId="0" fillId="0" borderId="1" xfId="0" applyBorder="1"/>
    <xf numFmtId="0" fontId="3" fillId="2" borderId="1" xfId="0" applyFont="1" applyFill="1" applyBorder="1"/>
    <xf numFmtId="0" fontId="3" fillId="0" borderId="1" xfId="0" applyFont="1" applyBorder="1"/>
    <xf numFmtId="14" fontId="2" fillId="0" borderId="1" xfId="0" applyNumberFormat="1" applyFont="1" applyBorder="1"/>
    <xf numFmtId="0" fontId="2" fillId="0" borderId="1" xfId="0" applyNumberFormat="1" applyFont="1" applyBorder="1"/>
    <xf numFmtId="0" fontId="0" fillId="0" borderId="1" xfId="0" applyBorder="1"/>
    <xf numFmtId="0" fontId="2" fillId="0" borderId="1" xfId="0" applyFont="1" applyBorder="1"/>
    <xf numFmtId="0" fontId="4" fillId="3" borderId="2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0" borderId="1" xfId="0" applyFont="1" applyBorder="1"/>
    <xf numFmtId="0" fontId="3" fillId="2" borderId="1" xfId="0" applyFont="1" applyFill="1" applyBorder="1" applyAlignment="1">
      <alignment horizontal="left"/>
    </xf>
    <xf numFmtId="169" fontId="0" fillId="0" borderId="1" xfId="0" applyNumberFormat="1" applyBorder="1"/>
    <xf numFmtId="170" fontId="0" fillId="0" borderId="1" xfId="0" applyNumberFormat="1" applyBorder="1"/>
    <xf numFmtId="37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49" fontId="0" fillId="4" borderId="1" xfId="0" applyNumberFormat="1" applyFill="1" applyBorder="1"/>
    <xf numFmtId="13" fontId="0" fillId="0" borderId="1" xfId="0" applyNumberFormat="1" applyBorder="1"/>
    <xf numFmtId="40" fontId="0" fillId="0" borderId="1" xfId="0" applyNumberFormat="1" applyBorder="1"/>
    <xf numFmtId="49" fontId="0" fillId="2" borderId="1" xfId="0" applyNumberFormat="1" applyFill="1" applyBorder="1"/>
    <xf numFmtId="2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" fontId="0" fillId="0" borderId="1" xfId="0" applyNumberFormat="1" applyBorder="1"/>
    <xf numFmtId="10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49" fontId="0" fillId="3" borderId="1" xfId="0" applyNumberFormat="1" applyFill="1" applyBorder="1"/>
    <xf numFmtId="0" fontId="3" fillId="0" borderId="3" xfId="0" applyFont="1" applyBorder="1"/>
    <xf numFmtId="0" fontId="3" fillId="0" borderId="4" xfId="0" applyFont="1" applyBorder="1"/>
    <xf numFmtId="14" fontId="0" fillId="0" borderId="1" xfId="0" applyNumberFormat="1" applyBorder="1"/>
    <xf numFmtId="176" fontId="0" fillId="0" borderId="1" xfId="0" applyNumberFormat="1" applyBorder="1"/>
  </cellXfs>
  <cellStyles count="1">
    <cellStyle name="Normal" xfId="0" builtinId="0"/>
  </cellStyles>
  <dxfs count="6"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a2" displayName="Tabla2" ref="A64:L142" totalsRowCount="1">
  <autoFilter ref="A64:L141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 totalsRowFunction="sum"/>
    <tableColumn id="7" name="Cantidad Por Unidad" totalsRowFunction="sum"/>
    <tableColumn id="8" name="Precio Unidad"/>
    <tableColumn id="9" name="Unidades En Existencia" totalsRowFunction="sum"/>
    <tableColumn id="10" name="Unidades En Pedido" totalsRowFunction="sum"/>
    <tableColumn id="11" name="Nivel Nuevo Pedido" totalsRowFunction="sum"/>
    <tableColumn id="12" name="Suspendido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1:L79" totalsRowCount="1">
  <autoFilter ref="A1:L78"/>
  <tableColumns count="12">
    <tableColumn id="1" name="Id Producto" totalsRowLabel="Total"/>
    <tableColumn id="2" name="Nombre Producto"/>
    <tableColumn id="3" name="Id Proveedor"/>
    <tableColumn id="4" name="Nombre de Proveedor"/>
    <tableColumn id="5" name="Id Categoría"/>
    <tableColumn id="6" name="Nombre Categoria"/>
    <tableColumn id="7" name="Cantidad Por Unidad"/>
    <tableColumn id="8" name="Precio Unidad"/>
    <tableColumn id="9" name="Unidades En Existencia" totalsRowFunction="sum"/>
    <tableColumn id="10" name="Unidades En Pedido"/>
    <tableColumn id="11" name="Nivel Nuevo Pedido"/>
    <tableColumn id="12" name="Suspendido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42"/>
  <sheetViews>
    <sheetView tabSelected="1" topLeftCell="A51" workbookViewId="0">
      <selection activeCell="C27" sqref="C27"/>
    </sheetView>
  </sheetViews>
  <sheetFormatPr baseColWidth="10" defaultRowHeight="15" x14ac:dyDescent="0.25"/>
  <cols>
    <col min="1" max="1" width="13.28515625" customWidth="1"/>
    <col min="2" max="2" width="57.4257812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7" x14ac:dyDescent="0.25">
      <c r="A1" s="29" t="s">
        <v>0</v>
      </c>
      <c r="B1" s="29"/>
      <c r="C1" s="29"/>
      <c r="D1" s="29"/>
      <c r="E1" s="29"/>
      <c r="F1" s="29"/>
      <c r="G1" s="29"/>
    </row>
    <row r="2" spans="1:7" x14ac:dyDescent="0.25">
      <c r="A2" s="29"/>
      <c r="B2" s="29"/>
      <c r="C2" s="29"/>
      <c r="D2" s="29"/>
      <c r="E2" s="29"/>
      <c r="F2" s="29"/>
      <c r="G2" s="29"/>
    </row>
    <row r="3" spans="1:7" x14ac:dyDescent="0.25">
      <c r="A3" s="29"/>
      <c r="B3" s="29"/>
      <c r="C3" s="29"/>
      <c r="D3" s="29"/>
      <c r="E3" s="29"/>
      <c r="F3" s="29"/>
      <c r="G3" s="29"/>
    </row>
    <row r="4" spans="1:7" x14ac:dyDescent="0.25">
      <c r="A4" s="29"/>
      <c r="B4" s="29"/>
      <c r="C4" s="29"/>
      <c r="D4" s="29"/>
      <c r="E4" s="29"/>
      <c r="F4" s="29"/>
      <c r="G4" s="29"/>
    </row>
    <row r="5" spans="1:7" x14ac:dyDescent="0.25">
      <c r="A5" s="29"/>
      <c r="B5" s="29"/>
      <c r="C5" s="29"/>
      <c r="D5" s="29"/>
      <c r="E5" s="29"/>
      <c r="F5" s="29"/>
      <c r="G5" s="29"/>
    </row>
    <row r="7" spans="1:7" x14ac:dyDescent="0.25">
      <c r="A7" s="30" t="s">
        <v>21</v>
      </c>
      <c r="B7" s="30"/>
      <c r="C7" s="30"/>
      <c r="D7" s="30"/>
      <c r="E7" s="30"/>
      <c r="F7" s="30"/>
      <c r="G7" s="30"/>
    </row>
    <row r="8" spans="1:7" x14ac:dyDescent="0.25">
      <c r="A8" s="3"/>
      <c r="B8" s="3"/>
      <c r="C8" s="3"/>
      <c r="D8" s="3"/>
      <c r="E8" s="3"/>
      <c r="F8" s="3"/>
      <c r="G8" s="3"/>
    </row>
    <row r="9" spans="1:7" x14ac:dyDescent="0.25">
      <c r="A9" s="13" t="s">
        <v>10</v>
      </c>
      <c r="B9" s="13"/>
      <c r="C9" s="27">
        <v>56.95</v>
      </c>
      <c r="D9" s="27"/>
    </row>
    <row r="10" spans="1:7" x14ac:dyDescent="0.25">
      <c r="A10" s="13" t="s">
        <v>6</v>
      </c>
      <c r="B10" s="13"/>
      <c r="C10" s="31" t="s">
        <v>236</v>
      </c>
      <c r="D10" s="31"/>
    </row>
    <row r="11" spans="1:7" x14ac:dyDescent="0.25">
      <c r="A11" s="13" t="s">
        <v>10</v>
      </c>
      <c r="B11" s="13"/>
      <c r="C11" s="27">
        <v>63.2</v>
      </c>
      <c r="D11" s="27"/>
    </row>
    <row r="12" spans="1:7" x14ac:dyDescent="0.25">
      <c r="A12" s="13" t="s">
        <v>7</v>
      </c>
      <c r="B12" s="13"/>
      <c r="C12" s="34">
        <v>44428</v>
      </c>
      <c r="D12" s="34"/>
    </row>
    <row r="13" spans="1:7" x14ac:dyDescent="0.25">
      <c r="A13" s="13" t="s">
        <v>8</v>
      </c>
      <c r="B13" s="13"/>
      <c r="C13" s="28">
        <v>23.2</v>
      </c>
      <c r="D13" s="28"/>
    </row>
    <row r="14" spans="1:7" x14ac:dyDescent="0.25">
      <c r="A14" s="13" t="s">
        <v>9</v>
      </c>
      <c r="B14" s="13"/>
      <c r="C14" s="24">
        <v>25.326000000000001</v>
      </c>
      <c r="D14" s="24"/>
    </row>
    <row r="15" spans="1:7" x14ac:dyDescent="0.25">
      <c r="A15" s="13" t="s">
        <v>10</v>
      </c>
      <c r="B15" s="13"/>
      <c r="C15" s="25">
        <v>95.5</v>
      </c>
      <c r="D15" s="25"/>
    </row>
    <row r="16" spans="1:7" x14ac:dyDescent="0.25">
      <c r="A16" s="13" t="s">
        <v>11</v>
      </c>
      <c r="B16" s="13"/>
      <c r="C16" s="26">
        <v>44235</v>
      </c>
      <c r="D16" s="26"/>
    </row>
    <row r="17" spans="1:9" x14ac:dyDescent="0.25">
      <c r="A17" s="13" t="s">
        <v>12</v>
      </c>
      <c r="B17" s="13"/>
      <c r="C17" s="21">
        <v>235.21</v>
      </c>
      <c r="D17" s="21"/>
    </row>
    <row r="18" spans="1:9" x14ac:dyDescent="0.25">
      <c r="A18" s="13" t="s">
        <v>13</v>
      </c>
      <c r="B18" s="13"/>
      <c r="C18" s="22">
        <v>0.23569799999999999</v>
      </c>
      <c r="D18" s="22"/>
      <c r="F18" s="5" t="s">
        <v>18</v>
      </c>
      <c r="G18" s="5" t="s">
        <v>19</v>
      </c>
    </row>
    <row r="19" spans="1:9" x14ac:dyDescent="0.25">
      <c r="A19" s="13" t="s">
        <v>6</v>
      </c>
      <c r="B19" s="13"/>
      <c r="C19" s="23" t="s">
        <v>237</v>
      </c>
      <c r="D19" s="23"/>
    </row>
    <row r="20" spans="1:9" x14ac:dyDescent="0.25">
      <c r="A20" s="13" t="s">
        <v>14</v>
      </c>
      <c r="B20" s="13"/>
      <c r="C20" s="18">
        <v>1521351.1544999999</v>
      </c>
      <c r="D20" s="18"/>
    </row>
    <row r="21" spans="1:9" x14ac:dyDescent="0.25">
      <c r="A21" s="13" t="s">
        <v>15</v>
      </c>
      <c r="B21" s="13"/>
      <c r="C21" s="19">
        <v>964.23</v>
      </c>
      <c r="D21" s="19"/>
    </row>
    <row r="22" spans="1:9" x14ac:dyDescent="0.25">
      <c r="A22" s="13" t="s">
        <v>6</v>
      </c>
      <c r="B22" s="13"/>
      <c r="C22" s="20" t="s">
        <v>238</v>
      </c>
      <c r="D22" s="20"/>
    </row>
    <row r="23" spans="1:9" x14ac:dyDescent="0.25">
      <c r="A23" s="13" t="s">
        <v>16</v>
      </c>
      <c r="B23" s="13"/>
      <c r="C23" s="15">
        <v>23.21</v>
      </c>
      <c r="D23" s="15"/>
    </row>
    <row r="24" spans="1:9" x14ac:dyDescent="0.25">
      <c r="A24" s="13" t="s">
        <v>12</v>
      </c>
      <c r="B24" s="13"/>
      <c r="C24" s="16">
        <v>35.21</v>
      </c>
      <c r="D24" s="16"/>
    </row>
    <row r="25" spans="1:9" x14ac:dyDescent="0.25">
      <c r="A25" s="13" t="s">
        <v>13</v>
      </c>
      <c r="B25" s="13"/>
      <c r="C25" s="17">
        <v>66596.232539999997</v>
      </c>
      <c r="D25" s="17"/>
      <c r="F25" s="5" t="s">
        <v>18</v>
      </c>
      <c r="G25" s="14" t="s">
        <v>20</v>
      </c>
      <c r="H25" s="14"/>
    </row>
    <row r="26" spans="1:9" x14ac:dyDescent="0.25">
      <c r="A26" s="13" t="s">
        <v>17</v>
      </c>
      <c r="B26" s="13"/>
      <c r="C26" s="35">
        <v>895.24</v>
      </c>
      <c r="D26" s="35"/>
    </row>
    <row r="29" spans="1:9" x14ac:dyDescent="0.25">
      <c r="A29" s="11" t="s">
        <v>23</v>
      </c>
      <c r="B29" s="12"/>
      <c r="C29" s="12"/>
      <c r="D29" s="12"/>
      <c r="E29" s="12"/>
      <c r="F29" s="12"/>
      <c r="G29" s="12"/>
      <c r="H29" s="12"/>
      <c r="I29" s="12"/>
    </row>
    <row r="31" spans="1:9" x14ac:dyDescent="0.25">
      <c r="A31" s="6" t="s">
        <v>22</v>
      </c>
      <c r="B31" s="6" t="s">
        <v>24</v>
      </c>
      <c r="C31" s="6" t="s">
        <v>28</v>
      </c>
      <c r="D31" s="6" t="s">
        <v>29</v>
      </c>
      <c r="E31" s="6" t="s">
        <v>30</v>
      </c>
    </row>
    <row r="32" spans="1:9" x14ac:dyDescent="0.25">
      <c r="A32" s="4">
        <v>45</v>
      </c>
      <c r="B32" s="4" t="s">
        <v>25</v>
      </c>
      <c r="C32" s="4">
        <v>20</v>
      </c>
      <c r="D32" s="4">
        <v>20</v>
      </c>
      <c r="E32" s="4">
        <v>100</v>
      </c>
    </row>
    <row r="33" spans="1:9" x14ac:dyDescent="0.25">
      <c r="A33" s="4">
        <v>62</v>
      </c>
      <c r="B33" s="4" t="s">
        <v>26</v>
      </c>
      <c r="C33" s="4">
        <v>90</v>
      </c>
      <c r="D33" s="4">
        <v>90</v>
      </c>
      <c r="E33" s="4">
        <v>2030</v>
      </c>
    </row>
    <row r="34" spans="1:9" x14ac:dyDescent="0.25">
      <c r="A34" s="4">
        <v>78</v>
      </c>
      <c r="B34" s="4" t="s">
        <v>27</v>
      </c>
      <c r="C34" s="4">
        <v>90</v>
      </c>
      <c r="D34" s="4">
        <v>90</v>
      </c>
      <c r="E34" s="4">
        <v>20191</v>
      </c>
    </row>
    <row r="35" spans="1:9" x14ac:dyDescent="0.25">
      <c r="A35" s="4">
        <v>7</v>
      </c>
      <c r="B35" s="4" t="s">
        <v>25</v>
      </c>
      <c r="C35" s="4">
        <v>23</v>
      </c>
      <c r="D35" s="4">
        <v>23</v>
      </c>
      <c r="E35" s="4">
        <v>493</v>
      </c>
    </row>
    <row r="36" spans="1:9" x14ac:dyDescent="0.25">
      <c r="A36" s="4">
        <v>31</v>
      </c>
      <c r="B36" s="4" t="s">
        <v>25</v>
      </c>
      <c r="C36" s="4">
        <v>42</v>
      </c>
      <c r="D36" s="4">
        <v>42</v>
      </c>
      <c r="E36" s="4">
        <v>9202</v>
      </c>
    </row>
    <row r="37" spans="1:9" x14ac:dyDescent="0.25">
      <c r="A37" s="4">
        <v>54</v>
      </c>
      <c r="B37" s="4" t="s">
        <v>27</v>
      </c>
      <c r="C37" s="4">
        <v>45</v>
      </c>
      <c r="D37" s="4">
        <v>45</v>
      </c>
      <c r="E37" s="4">
        <v>49392</v>
      </c>
    </row>
    <row r="38" spans="1:9" x14ac:dyDescent="0.25">
      <c r="A38" s="4">
        <v>87</v>
      </c>
      <c r="B38" s="4" t="s">
        <v>27</v>
      </c>
      <c r="C38" s="4">
        <v>64</v>
      </c>
      <c r="D38" s="4">
        <v>64</v>
      </c>
      <c r="E38" s="4">
        <v>93392</v>
      </c>
    </row>
    <row r="39" spans="1:9" x14ac:dyDescent="0.25">
      <c r="A39" s="4">
        <v>27</v>
      </c>
      <c r="B39" s="4" t="s">
        <v>27</v>
      </c>
      <c r="C39" s="4">
        <v>22</v>
      </c>
      <c r="D39" s="4">
        <v>22</v>
      </c>
      <c r="E39" s="4">
        <v>9921</v>
      </c>
    </row>
    <row r="40" spans="1:9" x14ac:dyDescent="0.25">
      <c r="A40" s="4">
        <v>97</v>
      </c>
      <c r="B40" s="4" t="s">
        <v>27</v>
      </c>
      <c r="C40" s="4">
        <v>11</v>
      </c>
      <c r="D40" s="4">
        <v>11</v>
      </c>
      <c r="E40" s="4">
        <v>3929</v>
      </c>
    </row>
    <row r="41" spans="1:9" x14ac:dyDescent="0.25">
      <c r="A41" s="4">
        <v>79</v>
      </c>
      <c r="B41" s="4" t="s">
        <v>26</v>
      </c>
      <c r="C41" s="4">
        <v>55</v>
      </c>
      <c r="D41" s="4">
        <v>55</v>
      </c>
      <c r="E41" s="4">
        <v>49392</v>
      </c>
    </row>
    <row r="42" spans="1:9" x14ac:dyDescent="0.25">
      <c r="A42" s="4">
        <v>96</v>
      </c>
      <c r="B42" s="4" t="s">
        <v>27</v>
      </c>
      <c r="C42" s="4">
        <v>76</v>
      </c>
      <c r="D42" s="4">
        <v>20</v>
      </c>
      <c r="E42" s="4">
        <v>4992</v>
      </c>
    </row>
    <row r="43" spans="1:9" x14ac:dyDescent="0.25">
      <c r="A43" s="4">
        <v>95</v>
      </c>
      <c r="B43" s="4" t="s">
        <v>25</v>
      </c>
      <c r="C43" s="4">
        <v>33</v>
      </c>
      <c r="D43" s="4">
        <v>33</v>
      </c>
      <c r="E43" s="4">
        <v>192</v>
      </c>
    </row>
    <row r="45" spans="1:9" x14ac:dyDescent="0.25">
      <c r="A45" s="11" t="s">
        <v>31</v>
      </c>
      <c r="B45" s="12"/>
      <c r="C45" s="12"/>
      <c r="D45" s="12"/>
      <c r="E45" s="12"/>
      <c r="F45" s="12"/>
      <c r="G45" s="12"/>
      <c r="H45" s="12"/>
      <c r="I45" s="12"/>
    </row>
    <row r="47" spans="1:9" x14ac:dyDescent="0.25">
      <c r="A47" s="10" t="s">
        <v>1</v>
      </c>
      <c r="B47" s="10"/>
      <c r="C47" s="8">
        <v>0.23</v>
      </c>
      <c r="D47" s="1"/>
      <c r="E47" s="1"/>
    </row>
    <row r="48" spans="1:9" x14ac:dyDescent="0.25">
      <c r="A48" s="10" t="s">
        <v>2</v>
      </c>
      <c r="B48" s="10"/>
      <c r="C48" s="2">
        <v>655</v>
      </c>
      <c r="D48" s="1"/>
      <c r="E48" s="1"/>
    </row>
    <row r="49" spans="1:12" x14ac:dyDescent="0.25">
      <c r="A49" s="10" t="s">
        <v>3</v>
      </c>
      <c r="B49" s="10"/>
      <c r="C49" s="7">
        <v>44489</v>
      </c>
      <c r="D49" s="1"/>
      <c r="E49" s="1"/>
    </row>
    <row r="50" spans="1:12" x14ac:dyDescent="0.25">
      <c r="A50" s="10" t="s">
        <v>32</v>
      </c>
      <c r="B50" s="10"/>
      <c r="C50" s="2">
        <v>30</v>
      </c>
      <c r="D50" s="1"/>
      <c r="E50" s="1"/>
    </row>
    <row r="51" spans="1:12" x14ac:dyDescent="0.25">
      <c r="A51" s="10" t="s">
        <v>4</v>
      </c>
      <c r="B51" s="10"/>
      <c r="C51" s="2" t="s">
        <v>241</v>
      </c>
      <c r="D51" s="1"/>
      <c r="E51" s="1"/>
    </row>
    <row r="52" spans="1:12" x14ac:dyDescent="0.25">
      <c r="A52" s="10" t="s">
        <v>5</v>
      </c>
      <c r="B52" s="10"/>
      <c r="C52" s="2" t="s">
        <v>240</v>
      </c>
      <c r="D52" s="1"/>
      <c r="E52" s="1"/>
    </row>
    <row r="55" spans="1:12" x14ac:dyDescent="0.25">
      <c r="A55" s="11" t="s">
        <v>229</v>
      </c>
      <c r="B55" s="12"/>
      <c r="C55" s="12"/>
      <c r="D55" s="12"/>
      <c r="E55" s="12"/>
      <c r="F55" s="12"/>
      <c r="G55" s="12"/>
      <c r="H55" s="12"/>
      <c r="I55" s="12"/>
    </row>
    <row r="57" spans="1:12" x14ac:dyDescent="0.25">
      <c r="A57" s="9" t="s">
        <v>230</v>
      </c>
      <c r="B57" s="9"/>
      <c r="C57" s="4">
        <v>10</v>
      </c>
    </row>
    <row r="58" spans="1:12" x14ac:dyDescent="0.25">
      <c r="A58" s="9" t="s">
        <v>232</v>
      </c>
      <c r="B58" s="9"/>
      <c r="C58" s="4">
        <v>559</v>
      </c>
    </row>
    <row r="59" spans="1:12" x14ac:dyDescent="0.25">
      <c r="A59" s="9" t="s">
        <v>233</v>
      </c>
      <c r="B59" s="9"/>
      <c r="C59" s="4">
        <v>8</v>
      </c>
    </row>
    <row r="60" spans="1:12" x14ac:dyDescent="0.25">
      <c r="A60" s="9" t="s">
        <v>234</v>
      </c>
      <c r="B60" s="9"/>
      <c r="C60" s="4">
        <v>5</v>
      </c>
    </row>
    <row r="61" spans="1:12" x14ac:dyDescent="0.25">
      <c r="A61" s="9" t="s">
        <v>235</v>
      </c>
      <c r="B61" s="9"/>
      <c r="C61" s="4" t="s">
        <v>239</v>
      </c>
    </row>
    <row r="64" spans="1:12" x14ac:dyDescent="0.25">
      <c r="A64" t="s">
        <v>33</v>
      </c>
      <c r="B64" t="s">
        <v>34</v>
      </c>
      <c r="C64" t="s">
        <v>35</v>
      </c>
      <c r="D64" t="s">
        <v>36</v>
      </c>
      <c r="E64" t="s">
        <v>37</v>
      </c>
      <c r="F64" t="s">
        <v>38</v>
      </c>
      <c r="G64" t="s">
        <v>39</v>
      </c>
      <c r="H64" t="s">
        <v>40</v>
      </c>
      <c r="I64" t="s">
        <v>41</v>
      </c>
      <c r="J64" t="s">
        <v>42</v>
      </c>
      <c r="K64" t="s">
        <v>43</v>
      </c>
      <c r="L64" t="s">
        <v>44</v>
      </c>
    </row>
    <row r="65" spans="1:12" x14ac:dyDescent="0.25">
      <c r="A65">
        <v>16</v>
      </c>
      <c r="B65" t="s">
        <v>45</v>
      </c>
      <c r="C65">
        <v>7</v>
      </c>
      <c r="D65" t="s">
        <v>46</v>
      </c>
      <c r="E65">
        <v>3</v>
      </c>
      <c r="F65" t="s">
        <v>47</v>
      </c>
      <c r="G65" t="s">
        <v>48</v>
      </c>
      <c r="H65">
        <v>17.45</v>
      </c>
      <c r="I65">
        <v>29</v>
      </c>
      <c r="J65">
        <v>0</v>
      </c>
      <c r="K65">
        <v>10</v>
      </c>
      <c r="L65" t="b">
        <v>0</v>
      </c>
    </row>
    <row r="66" spans="1:12" x14ac:dyDescent="0.25">
      <c r="A66">
        <v>39</v>
      </c>
      <c r="B66" t="s">
        <v>49</v>
      </c>
      <c r="C66">
        <v>18</v>
      </c>
      <c r="D66" t="s">
        <v>50</v>
      </c>
      <c r="E66">
        <v>1</v>
      </c>
      <c r="F66" t="s">
        <v>51</v>
      </c>
      <c r="G66" t="s">
        <v>52</v>
      </c>
      <c r="H66">
        <v>18</v>
      </c>
      <c r="I66">
        <v>69</v>
      </c>
      <c r="J66">
        <v>0</v>
      </c>
      <c r="K66">
        <v>5</v>
      </c>
      <c r="L66" t="b">
        <v>0</v>
      </c>
    </row>
    <row r="67" spans="1:12" x14ac:dyDescent="0.25">
      <c r="A67">
        <v>12</v>
      </c>
      <c r="B67" t="s">
        <v>53</v>
      </c>
      <c r="C67">
        <v>5</v>
      </c>
      <c r="D67" t="s">
        <v>54</v>
      </c>
      <c r="E67">
        <v>4</v>
      </c>
      <c r="F67" t="s">
        <v>55</v>
      </c>
      <c r="G67" t="s">
        <v>56</v>
      </c>
      <c r="H67">
        <v>38</v>
      </c>
      <c r="I67">
        <v>86</v>
      </c>
      <c r="J67">
        <v>0</v>
      </c>
      <c r="K67">
        <v>0</v>
      </c>
      <c r="L67" t="b">
        <v>0</v>
      </c>
    </row>
    <row r="68" spans="1:12" x14ac:dyDescent="0.25">
      <c r="A68">
        <v>67</v>
      </c>
      <c r="B68" t="s">
        <v>57</v>
      </c>
      <c r="C68">
        <v>16</v>
      </c>
      <c r="D68" t="s">
        <v>58</v>
      </c>
      <c r="E68">
        <v>1</v>
      </c>
      <c r="F68" t="s">
        <v>51</v>
      </c>
      <c r="G68" t="s">
        <v>59</v>
      </c>
      <c r="H68">
        <v>14</v>
      </c>
      <c r="I68">
        <v>52</v>
      </c>
      <c r="J68">
        <v>0</v>
      </c>
      <c r="K68">
        <v>10</v>
      </c>
      <c r="L68" t="b">
        <v>0</v>
      </c>
    </row>
    <row r="69" spans="1:12" x14ac:dyDescent="0.25">
      <c r="A69">
        <v>28</v>
      </c>
      <c r="B69" t="s">
        <v>60</v>
      </c>
      <c r="C69">
        <v>12</v>
      </c>
      <c r="D69" t="s">
        <v>61</v>
      </c>
      <c r="E69">
        <v>7</v>
      </c>
      <c r="F69" t="s">
        <v>62</v>
      </c>
      <c r="G69" t="s">
        <v>63</v>
      </c>
      <c r="H69">
        <v>45.6</v>
      </c>
      <c r="I69">
        <v>26</v>
      </c>
      <c r="J69">
        <v>0</v>
      </c>
      <c r="K69">
        <v>0</v>
      </c>
      <c r="L69" t="b">
        <v>1</v>
      </c>
    </row>
    <row r="70" spans="1:12" x14ac:dyDescent="0.25">
      <c r="A70">
        <v>24</v>
      </c>
      <c r="B70" t="s">
        <v>64</v>
      </c>
      <c r="C70">
        <v>10</v>
      </c>
      <c r="D70" t="s">
        <v>65</v>
      </c>
      <c r="E70">
        <v>1</v>
      </c>
      <c r="F70" t="s">
        <v>51</v>
      </c>
      <c r="G70" t="s">
        <v>66</v>
      </c>
      <c r="H70">
        <v>4.5</v>
      </c>
      <c r="I70">
        <v>20</v>
      </c>
      <c r="J70">
        <v>0</v>
      </c>
      <c r="K70">
        <v>0</v>
      </c>
      <c r="L70" t="b">
        <v>1</v>
      </c>
    </row>
    <row r="71" spans="1:12" x14ac:dyDescent="0.25">
      <c r="A71">
        <v>59</v>
      </c>
      <c r="B71" t="s">
        <v>67</v>
      </c>
      <c r="C71">
        <v>28</v>
      </c>
      <c r="D71" t="s">
        <v>68</v>
      </c>
      <c r="E71">
        <v>4</v>
      </c>
      <c r="F71" t="s">
        <v>55</v>
      </c>
      <c r="G71" t="s">
        <v>69</v>
      </c>
      <c r="H71">
        <v>55</v>
      </c>
      <c r="I71">
        <v>79</v>
      </c>
      <c r="J71">
        <v>0</v>
      </c>
      <c r="K71">
        <v>0</v>
      </c>
      <c r="L71" t="b">
        <v>0</v>
      </c>
    </row>
    <row r="72" spans="1:12" x14ac:dyDescent="0.25">
      <c r="A72">
        <v>18</v>
      </c>
      <c r="B72" t="s">
        <v>70</v>
      </c>
      <c r="C72">
        <v>7</v>
      </c>
      <c r="D72" t="s">
        <v>46</v>
      </c>
      <c r="E72">
        <v>8</v>
      </c>
      <c r="F72" t="s">
        <v>71</v>
      </c>
      <c r="G72" t="s">
        <v>72</v>
      </c>
      <c r="H72">
        <v>62.5</v>
      </c>
      <c r="I72">
        <v>42</v>
      </c>
      <c r="J72">
        <v>0</v>
      </c>
      <c r="K72">
        <v>0</v>
      </c>
      <c r="L72" t="b">
        <v>0</v>
      </c>
    </row>
    <row r="73" spans="1:12" x14ac:dyDescent="0.25">
      <c r="A73">
        <v>57</v>
      </c>
      <c r="B73" t="s">
        <v>73</v>
      </c>
      <c r="C73">
        <v>26</v>
      </c>
      <c r="D73" t="s">
        <v>74</v>
      </c>
      <c r="E73">
        <v>5</v>
      </c>
      <c r="F73" t="s">
        <v>75</v>
      </c>
      <c r="G73" t="s">
        <v>76</v>
      </c>
      <c r="H73">
        <v>19.5</v>
      </c>
      <c r="I73">
        <v>36</v>
      </c>
      <c r="J73">
        <v>0</v>
      </c>
      <c r="K73">
        <v>20</v>
      </c>
      <c r="L73" t="b">
        <v>0</v>
      </c>
    </row>
    <row r="74" spans="1:12" x14ac:dyDescent="0.25">
      <c r="A74">
        <v>30</v>
      </c>
      <c r="B74" t="s">
        <v>77</v>
      </c>
      <c r="C74">
        <v>13</v>
      </c>
      <c r="D74" t="s">
        <v>78</v>
      </c>
      <c r="E74">
        <v>8</v>
      </c>
      <c r="F74" t="s">
        <v>71</v>
      </c>
      <c r="G74" t="s">
        <v>79</v>
      </c>
      <c r="H74">
        <v>25.89</v>
      </c>
      <c r="I74">
        <v>10</v>
      </c>
      <c r="J74">
        <v>0</v>
      </c>
      <c r="K74">
        <v>15</v>
      </c>
      <c r="L74" t="b">
        <v>0</v>
      </c>
    </row>
    <row r="75" spans="1:12" x14ac:dyDescent="0.25">
      <c r="A75">
        <v>26</v>
      </c>
      <c r="B75" t="s">
        <v>80</v>
      </c>
      <c r="C75">
        <v>11</v>
      </c>
      <c r="D75" t="s">
        <v>81</v>
      </c>
      <c r="E75">
        <v>3</v>
      </c>
      <c r="F75" t="s">
        <v>47</v>
      </c>
      <c r="G75" t="s">
        <v>82</v>
      </c>
      <c r="H75">
        <v>31.23</v>
      </c>
      <c r="I75">
        <v>15</v>
      </c>
      <c r="J75">
        <v>0</v>
      </c>
      <c r="K75">
        <v>0</v>
      </c>
      <c r="L75" t="b">
        <v>0</v>
      </c>
    </row>
    <row r="76" spans="1:12" x14ac:dyDescent="0.25">
      <c r="A76">
        <v>25</v>
      </c>
      <c r="B76" t="s">
        <v>83</v>
      </c>
      <c r="C76">
        <v>11</v>
      </c>
      <c r="D76" t="s">
        <v>81</v>
      </c>
      <c r="E76">
        <v>3</v>
      </c>
      <c r="F76" t="s">
        <v>47</v>
      </c>
      <c r="G76" t="s">
        <v>84</v>
      </c>
      <c r="H76">
        <v>14</v>
      </c>
      <c r="I76">
        <v>76</v>
      </c>
      <c r="J76">
        <v>0</v>
      </c>
      <c r="K76">
        <v>30</v>
      </c>
      <c r="L76" t="b">
        <v>0</v>
      </c>
    </row>
    <row r="77" spans="1:12" x14ac:dyDescent="0.25">
      <c r="A77">
        <v>6</v>
      </c>
      <c r="B77" t="s">
        <v>85</v>
      </c>
      <c r="C77">
        <v>3</v>
      </c>
      <c r="D77" t="s">
        <v>86</v>
      </c>
      <c r="E77">
        <v>2</v>
      </c>
      <c r="F77" t="s">
        <v>87</v>
      </c>
      <c r="G77" t="s">
        <v>88</v>
      </c>
      <c r="H77">
        <v>25</v>
      </c>
      <c r="I77">
        <v>120</v>
      </c>
      <c r="J77">
        <v>0</v>
      </c>
      <c r="K77">
        <v>25</v>
      </c>
      <c r="L77" t="b">
        <v>0</v>
      </c>
    </row>
    <row r="78" spans="1:12" x14ac:dyDescent="0.25">
      <c r="A78">
        <v>33</v>
      </c>
      <c r="B78" t="s">
        <v>89</v>
      </c>
      <c r="C78">
        <v>15</v>
      </c>
      <c r="D78" t="s">
        <v>90</v>
      </c>
      <c r="E78">
        <v>4</v>
      </c>
      <c r="F78" t="s">
        <v>55</v>
      </c>
      <c r="G78" t="s">
        <v>91</v>
      </c>
      <c r="H78">
        <v>2.5</v>
      </c>
      <c r="I78">
        <v>112</v>
      </c>
      <c r="J78">
        <v>0</v>
      </c>
      <c r="K78">
        <v>20</v>
      </c>
      <c r="L78" t="b">
        <v>0</v>
      </c>
    </row>
    <row r="79" spans="1:12" x14ac:dyDescent="0.25">
      <c r="A79">
        <v>68</v>
      </c>
      <c r="B79" t="s">
        <v>92</v>
      </c>
      <c r="C79">
        <v>8</v>
      </c>
      <c r="D79" t="s">
        <v>93</v>
      </c>
      <c r="E79">
        <v>3</v>
      </c>
      <c r="F79" t="s">
        <v>47</v>
      </c>
      <c r="G79" t="s">
        <v>94</v>
      </c>
      <c r="H79">
        <v>12.5</v>
      </c>
      <c r="I79">
        <v>6</v>
      </c>
      <c r="J79">
        <v>10</v>
      </c>
      <c r="K79">
        <v>15</v>
      </c>
      <c r="L79" t="b">
        <v>0</v>
      </c>
    </row>
    <row r="80" spans="1:12" x14ac:dyDescent="0.25">
      <c r="A80">
        <v>47</v>
      </c>
      <c r="B80" t="s">
        <v>95</v>
      </c>
      <c r="C80">
        <v>22</v>
      </c>
      <c r="D80" t="s">
        <v>96</v>
      </c>
      <c r="E80">
        <v>3</v>
      </c>
      <c r="F80" t="s">
        <v>47</v>
      </c>
      <c r="G80" t="s">
        <v>97</v>
      </c>
      <c r="H80">
        <v>9.5</v>
      </c>
      <c r="I80">
        <v>36</v>
      </c>
      <c r="J80">
        <v>0</v>
      </c>
      <c r="K80">
        <v>0</v>
      </c>
      <c r="L80" t="b">
        <v>0</v>
      </c>
    </row>
    <row r="81" spans="1:12" x14ac:dyDescent="0.25">
      <c r="A81">
        <v>27</v>
      </c>
      <c r="B81" t="s">
        <v>98</v>
      </c>
      <c r="C81">
        <v>11</v>
      </c>
      <c r="D81" t="s">
        <v>81</v>
      </c>
      <c r="E81">
        <v>3</v>
      </c>
      <c r="F81" t="s">
        <v>47</v>
      </c>
      <c r="G81" t="s">
        <v>99</v>
      </c>
      <c r="H81">
        <v>43.9</v>
      </c>
      <c r="I81">
        <v>49</v>
      </c>
      <c r="J81">
        <v>0</v>
      </c>
      <c r="K81">
        <v>30</v>
      </c>
      <c r="L81" t="b">
        <v>0</v>
      </c>
    </row>
    <row r="82" spans="1:12" x14ac:dyDescent="0.25">
      <c r="A82">
        <v>77</v>
      </c>
      <c r="B82" t="s">
        <v>100</v>
      </c>
      <c r="C82">
        <v>12</v>
      </c>
      <c r="D82" t="s">
        <v>61</v>
      </c>
      <c r="E82">
        <v>2</v>
      </c>
      <c r="F82" t="s">
        <v>87</v>
      </c>
      <c r="G82" t="s">
        <v>101</v>
      </c>
      <c r="H82">
        <v>13</v>
      </c>
      <c r="I82">
        <v>32</v>
      </c>
      <c r="J82">
        <v>0</v>
      </c>
      <c r="K82">
        <v>15</v>
      </c>
      <c r="L82" t="b">
        <v>0</v>
      </c>
    </row>
    <row r="83" spans="1:12" x14ac:dyDescent="0.25">
      <c r="A83">
        <v>46</v>
      </c>
      <c r="B83" t="s">
        <v>102</v>
      </c>
      <c r="C83">
        <v>21</v>
      </c>
      <c r="D83" t="s">
        <v>103</v>
      </c>
      <c r="E83">
        <v>8</v>
      </c>
      <c r="F83" t="s">
        <v>71</v>
      </c>
      <c r="G83" t="s">
        <v>104</v>
      </c>
      <c r="H83">
        <v>12</v>
      </c>
      <c r="I83">
        <v>95</v>
      </c>
      <c r="J83">
        <v>0</v>
      </c>
      <c r="K83">
        <v>0</v>
      </c>
      <c r="L83" t="b">
        <v>0</v>
      </c>
    </row>
    <row r="84" spans="1:12" x14ac:dyDescent="0.25">
      <c r="A84">
        <v>8</v>
      </c>
      <c r="B84" t="s">
        <v>105</v>
      </c>
      <c r="C84">
        <v>3</v>
      </c>
      <c r="D84" t="s">
        <v>86</v>
      </c>
      <c r="E84">
        <v>2</v>
      </c>
      <c r="F84" t="s">
        <v>87</v>
      </c>
      <c r="G84" t="s">
        <v>106</v>
      </c>
      <c r="H84">
        <v>40</v>
      </c>
      <c r="I84">
        <v>6</v>
      </c>
      <c r="J84">
        <v>0</v>
      </c>
      <c r="K84">
        <v>0</v>
      </c>
      <c r="L84" t="b">
        <v>0</v>
      </c>
    </row>
    <row r="85" spans="1:12" x14ac:dyDescent="0.25">
      <c r="A85">
        <v>35</v>
      </c>
      <c r="B85" t="s">
        <v>107</v>
      </c>
      <c r="C85">
        <v>16</v>
      </c>
      <c r="D85" t="s">
        <v>58</v>
      </c>
      <c r="E85">
        <v>1</v>
      </c>
      <c r="F85" t="s">
        <v>51</v>
      </c>
      <c r="G85" t="s">
        <v>59</v>
      </c>
      <c r="H85">
        <v>18</v>
      </c>
      <c r="I85">
        <v>20</v>
      </c>
      <c r="J85">
        <v>0</v>
      </c>
      <c r="K85">
        <v>15</v>
      </c>
      <c r="L85" t="b">
        <v>0</v>
      </c>
    </row>
    <row r="86" spans="1:12" x14ac:dyDescent="0.25">
      <c r="A86">
        <v>74</v>
      </c>
      <c r="B86" t="s">
        <v>108</v>
      </c>
      <c r="C86">
        <v>4</v>
      </c>
      <c r="D86" t="s">
        <v>109</v>
      </c>
      <c r="E86">
        <v>7</v>
      </c>
      <c r="F86" t="s">
        <v>62</v>
      </c>
      <c r="G86" t="s">
        <v>69</v>
      </c>
      <c r="H86">
        <v>10</v>
      </c>
      <c r="I86">
        <v>4</v>
      </c>
      <c r="J86">
        <v>20</v>
      </c>
      <c r="K86">
        <v>5</v>
      </c>
      <c r="L86" t="b">
        <v>0</v>
      </c>
    </row>
    <row r="87" spans="1:12" x14ac:dyDescent="0.25">
      <c r="A87">
        <v>11</v>
      </c>
      <c r="B87" t="s">
        <v>110</v>
      </c>
      <c r="C87">
        <v>5</v>
      </c>
      <c r="D87" t="s">
        <v>54</v>
      </c>
      <c r="E87">
        <v>4</v>
      </c>
      <c r="F87" t="s">
        <v>55</v>
      </c>
      <c r="G87" t="s">
        <v>111</v>
      </c>
      <c r="H87">
        <v>21</v>
      </c>
      <c r="I87">
        <v>22</v>
      </c>
      <c r="J87">
        <v>30</v>
      </c>
      <c r="K87">
        <v>30</v>
      </c>
      <c r="L87" t="b">
        <v>0</v>
      </c>
    </row>
    <row r="88" spans="1:12" x14ac:dyDescent="0.25">
      <c r="A88">
        <v>36</v>
      </c>
      <c r="B88" t="s">
        <v>112</v>
      </c>
      <c r="C88">
        <v>17</v>
      </c>
      <c r="D88" t="s">
        <v>113</v>
      </c>
      <c r="E88">
        <v>8</v>
      </c>
      <c r="F88" t="s">
        <v>71</v>
      </c>
      <c r="G88" t="s">
        <v>114</v>
      </c>
      <c r="H88">
        <v>19</v>
      </c>
      <c r="I88">
        <v>112</v>
      </c>
      <c r="J88">
        <v>0</v>
      </c>
      <c r="K88">
        <v>20</v>
      </c>
      <c r="L88" t="b">
        <v>0</v>
      </c>
    </row>
    <row r="89" spans="1:12" x14ac:dyDescent="0.25">
      <c r="A89">
        <v>7</v>
      </c>
      <c r="B89" t="s">
        <v>115</v>
      </c>
      <c r="C89">
        <v>3</v>
      </c>
      <c r="D89" t="s">
        <v>86</v>
      </c>
      <c r="E89">
        <v>7</v>
      </c>
      <c r="F89" t="s">
        <v>62</v>
      </c>
      <c r="G89" t="s">
        <v>116</v>
      </c>
      <c r="H89">
        <v>30</v>
      </c>
      <c r="I89">
        <v>15</v>
      </c>
      <c r="J89">
        <v>0</v>
      </c>
      <c r="K89">
        <v>10</v>
      </c>
      <c r="L89" t="b">
        <v>0</v>
      </c>
    </row>
    <row r="90" spans="1:12" x14ac:dyDescent="0.25">
      <c r="A90">
        <v>38</v>
      </c>
      <c r="B90" t="s">
        <v>117</v>
      </c>
      <c r="C90">
        <v>18</v>
      </c>
      <c r="D90" t="s">
        <v>50</v>
      </c>
      <c r="E90">
        <v>1</v>
      </c>
      <c r="F90" t="s">
        <v>51</v>
      </c>
      <c r="G90" t="s">
        <v>118</v>
      </c>
      <c r="H90">
        <v>263.5</v>
      </c>
      <c r="I90">
        <v>17</v>
      </c>
      <c r="J90">
        <v>0</v>
      </c>
      <c r="K90">
        <v>15</v>
      </c>
      <c r="L90" t="b">
        <v>0</v>
      </c>
    </row>
    <row r="91" spans="1:12" x14ac:dyDescent="0.25">
      <c r="A91">
        <v>4</v>
      </c>
      <c r="B91" t="s">
        <v>119</v>
      </c>
      <c r="C91">
        <v>2</v>
      </c>
      <c r="D91" t="s">
        <v>120</v>
      </c>
      <c r="E91">
        <v>2</v>
      </c>
      <c r="F91" t="s">
        <v>87</v>
      </c>
      <c r="G91" t="s">
        <v>121</v>
      </c>
      <c r="H91">
        <v>22</v>
      </c>
      <c r="I91">
        <v>53</v>
      </c>
      <c r="J91">
        <v>0</v>
      </c>
      <c r="K91">
        <v>0</v>
      </c>
      <c r="L91" t="b">
        <v>0</v>
      </c>
    </row>
    <row r="92" spans="1:12" x14ac:dyDescent="0.25">
      <c r="A92">
        <v>41</v>
      </c>
      <c r="B92" t="s">
        <v>122</v>
      </c>
      <c r="C92">
        <v>19</v>
      </c>
      <c r="D92" t="s">
        <v>123</v>
      </c>
      <c r="E92">
        <v>8</v>
      </c>
      <c r="F92" t="s">
        <v>71</v>
      </c>
      <c r="G92" t="s">
        <v>124</v>
      </c>
      <c r="H92">
        <v>9.65</v>
      </c>
      <c r="I92">
        <v>85</v>
      </c>
      <c r="J92">
        <v>0</v>
      </c>
      <c r="K92">
        <v>10</v>
      </c>
      <c r="L92" t="b">
        <v>0</v>
      </c>
    </row>
    <row r="93" spans="1:12" x14ac:dyDescent="0.25">
      <c r="A93">
        <v>17</v>
      </c>
      <c r="B93" t="s">
        <v>125</v>
      </c>
      <c r="C93">
        <v>7</v>
      </c>
      <c r="D93" t="s">
        <v>46</v>
      </c>
      <c r="E93">
        <v>6</v>
      </c>
      <c r="F93" t="s">
        <v>126</v>
      </c>
      <c r="G93" t="s">
        <v>127</v>
      </c>
      <c r="H93">
        <v>39</v>
      </c>
      <c r="I93">
        <v>0</v>
      </c>
      <c r="J93">
        <v>0</v>
      </c>
      <c r="K93">
        <v>0</v>
      </c>
      <c r="L93" t="b">
        <v>1</v>
      </c>
    </row>
    <row r="94" spans="1:12" x14ac:dyDescent="0.25">
      <c r="A94">
        <v>13</v>
      </c>
      <c r="B94" t="s">
        <v>128</v>
      </c>
      <c r="C94">
        <v>6</v>
      </c>
      <c r="D94" t="s">
        <v>129</v>
      </c>
      <c r="E94">
        <v>8</v>
      </c>
      <c r="F94" t="s">
        <v>71</v>
      </c>
      <c r="G94" t="s">
        <v>130</v>
      </c>
      <c r="H94">
        <v>6</v>
      </c>
      <c r="I94">
        <v>24</v>
      </c>
      <c r="J94">
        <v>0</v>
      </c>
      <c r="K94">
        <v>5</v>
      </c>
      <c r="L94" t="b">
        <v>0</v>
      </c>
    </row>
    <row r="95" spans="1:12" x14ac:dyDescent="0.25">
      <c r="A95">
        <v>64</v>
      </c>
      <c r="B95" t="s">
        <v>131</v>
      </c>
      <c r="C95">
        <v>12</v>
      </c>
      <c r="D95" t="s">
        <v>61</v>
      </c>
      <c r="E95">
        <v>5</v>
      </c>
      <c r="F95" t="s">
        <v>75</v>
      </c>
      <c r="G95" t="s">
        <v>132</v>
      </c>
      <c r="H95">
        <v>33.25</v>
      </c>
      <c r="I95">
        <v>22</v>
      </c>
      <c r="J95">
        <v>80</v>
      </c>
      <c r="K95">
        <v>30</v>
      </c>
      <c r="L95" t="b">
        <v>0</v>
      </c>
    </row>
    <row r="96" spans="1:12" x14ac:dyDescent="0.25">
      <c r="A96">
        <v>65</v>
      </c>
      <c r="B96" t="s">
        <v>133</v>
      </c>
      <c r="C96">
        <v>2</v>
      </c>
      <c r="D96" t="s">
        <v>120</v>
      </c>
      <c r="E96">
        <v>2</v>
      </c>
      <c r="F96" t="s">
        <v>87</v>
      </c>
      <c r="G96" t="s">
        <v>134</v>
      </c>
      <c r="H96">
        <v>21.05</v>
      </c>
      <c r="I96">
        <v>76</v>
      </c>
      <c r="J96">
        <v>0</v>
      </c>
      <c r="K96">
        <v>0</v>
      </c>
      <c r="L96" t="b">
        <v>0</v>
      </c>
    </row>
    <row r="97" spans="1:12" x14ac:dyDescent="0.25">
      <c r="A97">
        <v>50</v>
      </c>
      <c r="B97" t="s">
        <v>135</v>
      </c>
      <c r="C97">
        <v>23</v>
      </c>
      <c r="D97" t="s">
        <v>136</v>
      </c>
      <c r="E97">
        <v>3</v>
      </c>
      <c r="F97" t="s">
        <v>47</v>
      </c>
      <c r="G97" t="s">
        <v>137</v>
      </c>
      <c r="H97">
        <v>16.25</v>
      </c>
      <c r="I97">
        <v>65</v>
      </c>
      <c r="J97">
        <v>0</v>
      </c>
      <c r="K97">
        <v>30</v>
      </c>
      <c r="L97" t="b">
        <v>0</v>
      </c>
    </row>
    <row r="98" spans="1:12" x14ac:dyDescent="0.25">
      <c r="A98">
        <v>63</v>
      </c>
      <c r="B98" t="s">
        <v>138</v>
      </c>
      <c r="C98">
        <v>7</v>
      </c>
      <c r="D98" t="s">
        <v>46</v>
      </c>
      <c r="E98">
        <v>2</v>
      </c>
      <c r="F98" t="s">
        <v>87</v>
      </c>
      <c r="G98" t="s">
        <v>139</v>
      </c>
      <c r="H98">
        <v>43.9</v>
      </c>
      <c r="I98">
        <v>24</v>
      </c>
      <c r="J98">
        <v>0</v>
      </c>
      <c r="K98">
        <v>5</v>
      </c>
      <c r="L98" t="b">
        <v>0</v>
      </c>
    </row>
    <row r="99" spans="1:12" x14ac:dyDescent="0.25">
      <c r="A99">
        <v>75</v>
      </c>
      <c r="B99" t="s">
        <v>140</v>
      </c>
      <c r="C99">
        <v>12</v>
      </c>
      <c r="D99" t="s">
        <v>61</v>
      </c>
      <c r="E99">
        <v>1</v>
      </c>
      <c r="F99" t="s">
        <v>51</v>
      </c>
      <c r="G99" t="s">
        <v>141</v>
      </c>
      <c r="H99">
        <v>7.75</v>
      </c>
      <c r="I99">
        <v>125</v>
      </c>
      <c r="J99">
        <v>0</v>
      </c>
      <c r="K99">
        <v>25</v>
      </c>
      <c r="L99" t="b">
        <v>0</v>
      </c>
    </row>
    <row r="100" spans="1:12" x14ac:dyDescent="0.25">
      <c r="A100">
        <v>52</v>
      </c>
      <c r="B100" t="s">
        <v>142</v>
      </c>
      <c r="C100">
        <v>24</v>
      </c>
      <c r="D100" t="s">
        <v>143</v>
      </c>
      <c r="E100">
        <v>5</v>
      </c>
      <c r="F100" t="s">
        <v>75</v>
      </c>
      <c r="G100" t="s">
        <v>144</v>
      </c>
      <c r="H100">
        <v>7</v>
      </c>
      <c r="I100">
        <v>38</v>
      </c>
      <c r="J100">
        <v>0</v>
      </c>
      <c r="K100">
        <v>25</v>
      </c>
      <c r="L100" t="b">
        <v>0</v>
      </c>
    </row>
    <row r="101" spans="1:12" x14ac:dyDescent="0.25">
      <c r="A101">
        <v>2</v>
      </c>
      <c r="B101" t="s">
        <v>145</v>
      </c>
      <c r="C101">
        <v>1</v>
      </c>
      <c r="D101" t="s">
        <v>146</v>
      </c>
      <c r="E101">
        <v>1</v>
      </c>
      <c r="F101" t="s">
        <v>51</v>
      </c>
      <c r="G101" t="s">
        <v>59</v>
      </c>
      <c r="H101">
        <v>19</v>
      </c>
      <c r="I101">
        <v>17</v>
      </c>
      <c r="J101">
        <v>40</v>
      </c>
      <c r="K101">
        <v>25</v>
      </c>
      <c r="L101" t="b">
        <v>0</v>
      </c>
    </row>
    <row r="102" spans="1:12" x14ac:dyDescent="0.25">
      <c r="A102">
        <v>69</v>
      </c>
      <c r="B102" t="s">
        <v>147</v>
      </c>
      <c r="C102">
        <v>15</v>
      </c>
      <c r="D102" t="s">
        <v>90</v>
      </c>
      <c r="E102">
        <v>4</v>
      </c>
      <c r="F102" t="s">
        <v>55</v>
      </c>
      <c r="G102" t="s">
        <v>148</v>
      </c>
      <c r="H102">
        <v>36</v>
      </c>
      <c r="I102">
        <v>26</v>
      </c>
      <c r="J102">
        <v>0</v>
      </c>
      <c r="K102">
        <v>15</v>
      </c>
      <c r="L102" t="b">
        <v>0</v>
      </c>
    </row>
    <row r="103" spans="1:12" x14ac:dyDescent="0.25">
      <c r="A103">
        <v>44</v>
      </c>
      <c r="B103" t="s">
        <v>149</v>
      </c>
      <c r="C103">
        <v>20</v>
      </c>
      <c r="D103" t="s">
        <v>150</v>
      </c>
      <c r="E103">
        <v>2</v>
      </c>
      <c r="F103" t="s">
        <v>87</v>
      </c>
      <c r="G103" t="s">
        <v>151</v>
      </c>
      <c r="H103">
        <v>19.45</v>
      </c>
      <c r="I103">
        <v>27</v>
      </c>
      <c r="J103">
        <v>0</v>
      </c>
      <c r="K103">
        <v>15</v>
      </c>
      <c r="L103" t="b">
        <v>0</v>
      </c>
    </row>
    <row r="104" spans="1:12" x14ac:dyDescent="0.25">
      <c r="A104">
        <v>60</v>
      </c>
      <c r="B104" t="s">
        <v>152</v>
      </c>
      <c r="C104">
        <v>28</v>
      </c>
      <c r="D104" t="s">
        <v>68</v>
      </c>
      <c r="E104">
        <v>4</v>
      </c>
      <c r="F104" t="s">
        <v>55</v>
      </c>
      <c r="G104" t="s">
        <v>153</v>
      </c>
      <c r="H104">
        <v>34</v>
      </c>
      <c r="I104">
        <v>19</v>
      </c>
      <c r="J104">
        <v>0</v>
      </c>
      <c r="K104">
        <v>0</v>
      </c>
      <c r="L104" t="b">
        <v>0</v>
      </c>
    </row>
    <row r="105" spans="1:12" x14ac:dyDescent="0.25">
      <c r="A105">
        <v>37</v>
      </c>
      <c r="B105" t="s">
        <v>154</v>
      </c>
      <c r="C105">
        <v>17</v>
      </c>
      <c r="D105" t="s">
        <v>113</v>
      </c>
      <c r="E105">
        <v>8</v>
      </c>
      <c r="F105" t="s">
        <v>71</v>
      </c>
      <c r="G105" t="s">
        <v>155</v>
      </c>
      <c r="H105">
        <v>26</v>
      </c>
      <c r="I105">
        <v>11</v>
      </c>
      <c r="J105">
        <v>50</v>
      </c>
      <c r="K105">
        <v>25</v>
      </c>
      <c r="L105" t="b">
        <v>0</v>
      </c>
    </row>
    <row r="106" spans="1:12" x14ac:dyDescent="0.25">
      <c r="A106">
        <v>49</v>
      </c>
      <c r="B106" t="s">
        <v>156</v>
      </c>
      <c r="C106">
        <v>23</v>
      </c>
      <c r="D106" t="s">
        <v>136</v>
      </c>
      <c r="E106">
        <v>3</v>
      </c>
      <c r="F106" t="s">
        <v>47</v>
      </c>
      <c r="G106" t="s">
        <v>157</v>
      </c>
      <c r="H106">
        <v>20</v>
      </c>
      <c r="I106">
        <v>10</v>
      </c>
      <c r="J106">
        <v>60</v>
      </c>
      <c r="K106">
        <v>15</v>
      </c>
      <c r="L106" t="b">
        <v>0</v>
      </c>
    </row>
    <row r="107" spans="1:12" x14ac:dyDescent="0.25">
      <c r="A107">
        <v>51</v>
      </c>
      <c r="B107" t="s">
        <v>158</v>
      </c>
      <c r="C107">
        <v>24</v>
      </c>
      <c r="D107" t="s">
        <v>143</v>
      </c>
      <c r="E107">
        <v>7</v>
      </c>
      <c r="F107" t="s">
        <v>62</v>
      </c>
      <c r="G107" t="s">
        <v>159</v>
      </c>
      <c r="H107">
        <v>53</v>
      </c>
      <c r="I107">
        <v>20</v>
      </c>
      <c r="J107">
        <v>0</v>
      </c>
      <c r="K107">
        <v>10</v>
      </c>
      <c r="L107" t="b">
        <v>0</v>
      </c>
    </row>
    <row r="108" spans="1:12" x14ac:dyDescent="0.25">
      <c r="A108">
        <v>54</v>
      </c>
      <c r="B108" t="s">
        <v>160</v>
      </c>
      <c r="C108">
        <v>25</v>
      </c>
      <c r="D108" t="s">
        <v>161</v>
      </c>
      <c r="E108">
        <v>6</v>
      </c>
      <c r="F108" t="s">
        <v>126</v>
      </c>
      <c r="G108" t="s">
        <v>162</v>
      </c>
      <c r="H108">
        <v>7.45</v>
      </c>
      <c r="I108">
        <v>21</v>
      </c>
      <c r="J108">
        <v>0</v>
      </c>
      <c r="K108">
        <v>10</v>
      </c>
      <c r="L108" t="b">
        <v>0</v>
      </c>
    </row>
    <row r="109" spans="1:12" x14ac:dyDescent="0.25">
      <c r="A109">
        <v>62</v>
      </c>
      <c r="B109" t="s">
        <v>163</v>
      </c>
      <c r="C109">
        <v>29</v>
      </c>
      <c r="D109" t="s">
        <v>164</v>
      </c>
      <c r="E109">
        <v>3</v>
      </c>
      <c r="F109" t="s">
        <v>47</v>
      </c>
      <c r="G109" t="s">
        <v>165</v>
      </c>
      <c r="H109">
        <v>49.3</v>
      </c>
      <c r="I109">
        <v>17</v>
      </c>
      <c r="J109">
        <v>0</v>
      </c>
      <c r="K109">
        <v>0</v>
      </c>
      <c r="L109" t="b">
        <v>0</v>
      </c>
    </row>
    <row r="110" spans="1:12" x14ac:dyDescent="0.25">
      <c r="A110">
        <v>42</v>
      </c>
      <c r="B110" t="s">
        <v>166</v>
      </c>
      <c r="C110">
        <v>20</v>
      </c>
      <c r="D110" t="s">
        <v>150</v>
      </c>
      <c r="E110">
        <v>5</v>
      </c>
      <c r="F110" t="s">
        <v>75</v>
      </c>
      <c r="G110" t="s">
        <v>167</v>
      </c>
      <c r="H110">
        <v>14</v>
      </c>
      <c r="I110">
        <v>26</v>
      </c>
      <c r="J110">
        <v>0</v>
      </c>
      <c r="K110">
        <v>0</v>
      </c>
      <c r="L110" t="b">
        <v>1</v>
      </c>
    </row>
    <row r="111" spans="1:12" x14ac:dyDescent="0.25">
      <c r="A111">
        <v>70</v>
      </c>
      <c r="B111" t="s">
        <v>168</v>
      </c>
      <c r="C111">
        <v>7</v>
      </c>
      <c r="D111" t="s">
        <v>46</v>
      </c>
      <c r="E111">
        <v>1</v>
      </c>
      <c r="F111" t="s">
        <v>51</v>
      </c>
      <c r="G111" t="s">
        <v>169</v>
      </c>
      <c r="H111">
        <v>15</v>
      </c>
      <c r="I111">
        <v>15</v>
      </c>
      <c r="J111">
        <v>10</v>
      </c>
      <c r="K111">
        <v>30</v>
      </c>
      <c r="L111" t="b">
        <v>0</v>
      </c>
    </row>
    <row r="112" spans="1:12" x14ac:dyDescent="0.25">
      <c r="A112">
        <v>5</v>
      </c>
      <c r="B112" t="s">
        <v>170</v>
      </c>
      <c r="C112">
        <v>2</v>
      </c>
      <c r="D112" t="s">
        <v>120</v>
      </c>
      <c r="E112">
        <v>2</v>
      </c>
      <c r="F112" t="s">
        <v>87</v>
      </c>
      <c r="G112" t="s">
        <v>171</v>
      </c>
      <c r="H112">
        <v>21.35</v>
      </c>
      <c r="I112">
        <v>0</v>
      </c>
      <c r="J112">
        <v>0</v>
      </c>
      <c r="K112">
        <v>0</v>
      </c>
      <c r="L112" t="b">
        <v>1</v>
      </c>
    </row>
    <row r="113" spans="1:12" x14ac:dyDescent="0.25">
      <c r="A113">
        <v>55</v>
      </c>
      <c r="B113" t="s">
        <v>172</v>
      </c>
      <c r="C113">
        <v>25</v>
      </c>
      <c r="D113" t="s">
        <v>161</v>
      </c>
      <c r="E113">
        <v>6</v>
      </c>
      <c r="F113" t="s">
        <v>126</v>
      </c>
      <c r="G113" t="s">
        <v>173</v>
      </c>
      <c r="H113">
        <v>24</v>
      </c>
      <c r="I113">
        <v>115</v>
      </c>
      <c r="J113">
        <v>0</v>
      </c>
      <c r="K113">
        <v>20</v>
      </c>
      <c r="L113" t="b">
        <v>0</v>
      </c>
    </row>
    <row r="114" spans="1:12" x14ac:dyDescent="0.25">
      <c r="A114">
        <v>14</v>
      </c>
      <c r="B114" t="s">
        <v>174</v>
      </c>
      <c r="C114">
        <v>6</v>
      </c>
      <c r="D114" t="s">
        <v>129</v>
      </c>
      <c r="E114">
        <v>7</v>
      </c>
      <c r="F114" t="s">
        <v>62</v>
      </c>
      <c r="G114" t="s">
        <v>175</v>
      </c>
      <c r="H114">
        <v>23.25</v>
      </c>
      <c r="I114">
        <v>35</v>
      </c>
      <c r="J114">
        <v>0</v>
      </c>
      <c r="K114">
        <v>0</v>
      </c>
      <c r="L114" t="b">
        <v>0</v>
      </c>
    </row>
    <row r="115" spans="1:12" x14ac:dyDescent="0.25">
      <c r="A115">
        <v>40</v>
      </c>
      <c r="B115" t="s">
        <v>176</v>
      </c>
      <c r="C115">
        <v>19</v>
      </c>
      <c r="D115" t="s">
        <v>123</v>
      </c>
      <c r="E115">
        <v>8</v>
      </c>
      <c r="F115" t="s">
        <v>71</v>
      </c>
      <c r="G115" t="s">
        <v>177</v>
      </c>
      <c r="H115">
        <v>18.399999999999999</v>
      </c>
      <c r="I115">
        <v>123</v>
      </c>
      <c r="J115">
        <v>0</v>
      </c>
      <c r="K115">
        <v>30</v>
      </c>
      <c r="L115" t="b">
        <v>0</v>
      </c>
    </row>
    <row r="116" spans="1:12" x14ac:dyDescent="0.25">
      <c r="A116">
        <v>1</v>
      </c>
      <c r="B116" t="s">
        <v>178</v>
      </c>
      <c r="C116">
        <v>1</v>
      </c>
      <c r="D116" t="s">
        <v>146</v>
      </c>
      <c r="E116">
        <v>1</v>
      </c>
      <c r="F116" t="s">
        <v>51</v>
      </c>
      <c r="G116" t="s">
        <v>179</v>
      </c>
      <c r="H116">
        <v>18</v>
      </c>
      <c r="I116">
        <v>39</v>
      </c>
      <c r="J116">
        <v>0</v>
      </c>
      <c r="K116">
        <v>10</v>
      </c>
      <c r="L116" t="b">
        <v>0</v>
      </c>
    </row>
    <row r="117" spans="1:12" x14ac:dyDescent="0.25">
      <c r="A117">
        <v>66</v>
      </c>
      <c r="B117" t="s">
        <v>180</v>
      </c>
      <c r="C117">
        <v>2</v>
      </c>
      <c r="D117" t="s">
        <v>120</v>
      </c>
      <c r="E117">
        <v>2</v>
      </c>
      <c r="F117" t="s">
        <v>87</v>
      </c>
      <c r="G117" t="s">
        <v>181</v>
      </c>
      <c r="H117">
        <v>17</v>
      </c>
      <c r="I117">
        <v>4</v>
      </c>
      <c r="J117">
        <v>100</v>
      </c>
      <c r="K117">
        <v>20</v>
      </c>
      <c r="L117" t="b">
        <v>0</v>
      </c>
    </row>
    <row r="118" spans="1:12" x14ac:dyDescent="0.25">
      <c r="A118">
        <v>15</v>
      </c>
      <c r="B118" t="s">
        <v>182</v>
      </c>
      <c r="C118">
        <v>6</v>
      </c>
      <c r="D118" t="s">
        <v>129</v>
      </c>
      <c r="E118">
        <v>2</v>
      </c>
      <c r="F118" t="s">
        <v>87</v>
      </c>
      <c r="G118" t="s">
        <v>183</v>
      </c>
      <c r="H118">
        <v>15.5</v>
      </c>
      <c r="I118">
        <v>39</v>
      </c>
      <c r="J118">
        <v>0</v>
      </c>
      <c r="K118">
        <v>5</v>
      </c>
      <c r="L118" t="b">
        <v>0</v>
      </c>
    </row>
    <row r="119" spans="1:12" x14ac:dyDescent="0.25">
      <c r="A119">
        <v>19</v>
      </c>
      <c r="B119" t="s">
        <v>184</v>
      </c>
      <c r="C119">
        <v>8</v>
      </c>
      <c r="D119" t="s">
        <v>93</v>
      </c>
      <c r="E119">
        <v>3</v>
      </c>
      <c r="F119" t="s">
        <v>47</v>
      </c>
      <c r="G119" t="s">
        <v>185</v>
      </c>
      <c r="H119">
        <v>9.1999999999999993</v>
      </c>
      <c r="I119">
        <v>25</v>
      </c>
      <c r="J119">
        <v>0</v>
      </c>
      <c r="K119">
        <v>5</v>
      </c>
      <c r="L119" t="b">
        <v>0</v>
      </c>
    </row>
    <row r="120" spans="1:12" x14ac:dyDescent="0.25">
      <c r="A120">
        <v>72</v>
      </c>
      <c r="B120" t="s">
        <v>186</v>
      </c>
      <c r="C120">
        <v>14</v>
      </c>
      <c r="D120" t="s">
        <v>187</v>
      </c>
      <c r="E120">
        <v>4</v>
      </c>
      <c r="F120" t="s">
        <v>55</v>
      </c>
      <c r="G120" t="s">
        <v>188</v>
      </c>
      <c r="H120">
        <v>34.799999999999997</v>
      </c>
      <c r="I120">
        <v>14</v>
      </c>
      <c r="J120">
        <v>0</v>
      </c>
      <c r="K120">
        <v>0</v>
      </c>
      <c r="L120" t="b">
        <v>0</v>
      </c>
    </row>
    <row r="121" spans="1:12" x14ac:dyDescent="0.25">
      <c r="A121">
        <v>23</v>
      </c>
      <c r="B121" t="s">
        <v>189</v>
      </c>
      <c r="C121">
        <v>9</v>
      </c>
      <c r="D121" t="s">
        <v>190</v>
      </c>
      <c r="E121">
        <v>5</v>
      </c>
      <c r="F121" t="s">
        <v>75</v>
      </c>
      <c r="G121" t="s">
        <v>191</v>
      </c>
      <c r="H121">
        <v>9</v>
      </c>
      <c r="I121">
        <v>61</v>
      </c>
      <c r="J121">
        <v>0</v>
      </c>
      <c r="K121">
        <v>25</v>
      </c>
      <c r="L121" t="b">
        <v>0</v>
      </c>
    </row>
    <row r="122" spans="1:12" x14ac:dyDescent="0.25">
      <c r="A122">
        <v>22</v>
      </c>
      <c r="B122" t="s">
        <v>192</v>
      </c>
      <c r="C122">
        <v>9</v>
      </c>
      <c r="D122" t="s">
        <v>190</v>
      </c>
      <c r="E122">
        <v>5</v>
      </c>
      <c r="F122" t="s">
        <v>75</v>
      </c>
      <c r="G122" t="s">
        <v>193</v>
      </c>
      <c r="H122">
        <v>21</v>
      </c>
      <c r="I122">
        <v>104</v>
      </c>
      <c r="J122">
        <v>0</v>
      </c>
      <c r="K122">
        <v>25</v>
      </c>
      <c r="L122" t="b">
        <v>0</v>
      </c>
    </row>
    <row r="123" spans="1:12" x14ac:dyDescent="0.25">
      <c r="A123">
        <v>71</v>
      </c>
      <c r="B123" t="s">
        <v>194</v>
      </c>
      <c r="C123">
        <v>15</v>
      </c>
      <c r="D123" t="s">
        <v>90</v>
      </c>
      <c r="E123">
        <v>4</v>
      </c>
      <c r="F123" t="s">
        <v>55</v>
      </c>
      <c r="G123" t="s">
        <v>56</v>
      </c>
      <c r="H123">
        <v>21.5</v>
      </c>
      <c r="I123">
        <v>26</v>
      </c>
      <c r="J123">
        <v>0</v>
      </c>
      <c r="K123">
        <v>0</v>
      </c>
      <c r="L123" t="b">
        <v>0</v>
      </c>
    </row>
    <row r="124" spans="1:12" x14ac:dyDescent="0.25">
      <c r="A124">
        <v>73</v>
      </c>
      <c r="B124" t="s">
        <v>195</v>
      </c>
      <c r="C124">
        <v>17</v>
      </c>
      <c r="D124" t="s">
        <v>113</v>
      </c>
      <c r="E124">
        <v>8</v>
      </c>
      <c r="F124" t="s">
        <v>71</v>
      </c>
      <c r="G124" t="s">
        <v>196</v>
      </c>
      <c r="H124">
        <v>15</v>
      </c>
      <c r="I124">
        <v>101</v>
      </c>
      <c r="J124">
        <v>0</v>
      </c>
      <c r="K124">
        <v>5</v>
      </c>
      <c r="L124" t="b">
        <v>0</v>
      </c>
    </row>
    <row r="125" spans="1:12" x14ac:dyDescent="0.25">
      <c r="A125">
        <v>31</v>
      </c>
      <c r="B125" t="s">
        <v>197</v>
      </c>
      <c r="C125">
        <v>14</v>
      </c>
      <c r="D125" t="s">
        <v>187</v>
      </c>
      <c r="E125">
        <v>4</v>
      </c>
      <c r="F125" t="s">
        <v>55</v>
      </c>
      <c r="G125" t="s">
        <v>198</v>
      </c>
      <c r="H125">
        <v>12.5</v>
      </c>
      <c r="I125">
        <v>0</v>
      </c>
      <c r="J125">
        <v>70</v>
      </c>
      <c r="K125">
        <v>20</v>
      </c>
      <c r="L125" t="b">
        <v>0</v>
      </c>
    </row>
    <row r="126" spans="1:12" x14ac:dyDescent="0.25">
      <c r="A126">
        <v>58</v>
      </c>
      <c r="B126" t="s">
        <v>199</v>
      </c>
      <c r="C126">
        <v>27</v>
      </c>
      <c r="D126" t="s">
        <v>200</v>
      </c>
      <c r="E126">
        <v>8</v>
      </c>
      <c r="F126" t="s">
        <v>71</v>
      </c>
      <c r="G126" t="s">
        <v>201</v>
      </c>
      <c r="H126">
        <v>13.25</v>
      </c>
      <c r="I126">
        <v>62</v>
      </c>
      <c r="J126">
        <v>0</v>
      </c>
      <c r="K126">
        <v>20</v>
      </c>
      <c r="L126" t="b">
        <v>0</v>
      </c>
    </row>
    <row r="127" spans="1:12" x14ac:dyDescent="0.25">
      <c r="A127">
        <v>76</v>
      </c>
      <c r="B127" t="s">
        <v>202</v>
      </c>
      <c r="C127">
        <v>23</v>
      </c>
      <c r="D127" t="s">
        <v>136</v>
      </c>
      <c r="E127">
        <v>1</v>
      </c>
      <c r="F127" t="s">
        <v>51</v>
      </c>
      <c r="G127" t="s">
        <v>203</v>
      </c>
      <c r="H127">
        <v>18</v>
      </c>
      <c r="I127">
        <v>57</v>
      </c>
      <c r="J127">
        <v>0</v>
      </c>
      <c r="K127">
        <v>20</v>
      </c>
      <c r="L127" t="b">
        <v>0</v>
      </c>
    </row>
    <row r="128" spans="1:12" x14ac:dyDescent="0.25">
      <c r="A128">
        <v>32</v>
      </c>
      <c r="B128" t="s">
        <v>204</v>
      </c>
      <c r="C128">
        <v>14</v>
      </c>
      <c r="D128" t="s">
        <v>187</v>
      </c>
      <c r="E128">
        <v>4</v>
      </c>
      <c r="F128" t="s">
        <v>55</v>
      </c>
      <c r="G128" t="s">
        <v>188</v>
      </c>
      <c r="H128">
        <v>32</v>
      </c>
      <c r="I128">
        <v>9</v>
      </c>
      <c r="J128">
        <v>40</v>
      </c>
      <c r="K128">
        <v>25</v>
      </c>
      <c r="L128" t="b">
        <v>0</v>
      </c>
    </row>
    <row r="129" spans="1:12" x14ac:dyDescent="0.25">
      <c r="A129">
        <v>34</v>
      </c>
      <c r="B129" t="s">
        <v>205</v>
      </c>
      <c r="C129">
        <v>16</v>
      </c>
      <c r="D129" t="s">
        <v>58</v>
      </c>
      <c r="E129">
        <v>1</v>
      </c>
      <c r="F129" t="s">
        <v>51</v>
      </c>
      <c r="G129" t="s">
        <v>59</v>
      </c>
      <c r="H129">
        <v>14</v>
      </c>
      <c r="I129">
        <v>111</v>
      </c>
      <c r="J129">
        <v>0</v>
      </c>
      <c r="K129">
        <v>15</v>
      </c>
      <c r="L129" t="b">
        <v>0</v>
      </c>
    </row>
    <row r="130" spans="1:12" x14ac:dyDescent="0.25">
      <c r="A130">
        <v>20</v>
      </c>
      <c r="B130" t="s">
        <v>206</v>
      </c>
      <c r="C130">
        <v>8</v>
      </c>
      <c r="D130" t="s">
        <v>93</v>
      </c>
      <c r="E130">
        <v>3</v>
      </c>
      <c r="F130" t="s">
        <v>47</v>
      </c>
      <c r="G130" t="s">
        <v>207</v>
      </c>
      <c r="H130">
        <v>81</v>
      </c>
      <c r="I130">
        <v>40</v>
      </c>
      <c r="J130">
        <v>0</v>
      </c>
      <c r="K130">
        <v>0</v>
      </c>
      <c r="L130" t="b">
        <v>0</v>
      </c>
    </row>
    <row r="131" spans="1:12" x14ac:dyDescent="0.25">
      <c r="A131">
        <v>61</v>
      </c>
      <c r="B131" t="s">
        <v>208</v>
      </c>
      <c r="C131">
        <v>29</v>
      </c>
      <c r="D131" t="s">
        <v>164</v>
      </c>
      <c r="E131">
        <v>2</v>
      </c>
      <c r="F131" t="s">
        <v>87</v>
      </c>
      <c r="G131" t="s">
        <v>209</v>
      </c>
      <c r="H131">
        <v>28.5</v>
      </c>
      <c r="I131">
        <v>113</v>
      </c>
      <c r="J131">
        <v>0</v>
      </c>
      <c r="K131">
        <v>25</v>
      </c>
      <c r="L131" t="b">
        <v>0</v>
      </c>
    </row>
    <row r="132" spans="1:12" x14ac:dyDescent="0.25">
      <c r="A132">
        <v>43</v>
      </c>
      <c r="B132" t="s">
        <v>210</v>
      </c>
      <c r="C132">
        <v>20</v>
      </c>
      <c r="D132" t="s">
        <v>150</v>
      </c>
      <c r="E132">
        <v>1</v>
      </c>
      <c r="F132" t="s">
        <v>51</v>
      </c>
      <c r="G132" t="s">
        <v>211</v>
      </c>
      <c r="H132">
        <v>46</v>
      </c>
      <c r="I132">
        <v>17</v>
      </c>
      <c r="J132">
        <v>10</v>
      </c>
      <c r="K132">
        <v>25</v>
      </c>
      <c r="L132" t="b">
        <v>0</v>
      </c>
    </row>
    <row r="133" spans="1:12" x14ac:dyDescent="0.25">
      <c r="A133">
        <v>53</v>
      </c>
      <c r="B133" t="s">
        <v>212</v>
      </c>
      <c r="C133">
        <v>24</v>
      </c>
      <c r="D133" t="s">
        <v>143</v>
      </c>
      <c r="E133">
        <v>6</v>
      </c>
      <c r="F133" t="s">
        <v>126</v>
      </c>
      <c r="G133" t="s">
        <v>213</v>
      </c>
      <c r="H133">
        <v>32.799999999999997</v>
      </c>
      <c r="I133">
        <v>0</v>
      </c>
      <c r="J133">
        <v>0</v>
      </c>
      <c r="K133">
        <v>0</v>
      </c>
      <c r="L133" t="b">
        <v>1</v>
      </c>
    </row>
    <row r="134" spans="1:12" x14ac:dyDescent="0.25">
      <c r="A134">
        <v>29</v>
      </c>
      <c r="B134" t="s">
        <v>214</v>
      </c>
      <c r="C134">
        <v>12</v>
      </c>
      <c r="D134" t="s">
        <v>61</v>
      </c>
      <c r="E134">
        <v>6</v>
      </c>
      <c r="F134" t="s">
        <v>126</v>
      </c>
      <c r="G134" t="s">
        <v>215</v>
      </c>
      <c r="H134">
        <v>123.79</v>
      </c>
      <c r="I134">
        <v>0</v>
      </c>
      <c r="J134">
        <v>0</v>
      </c>
      <c r="K134">
        <v>0</v>
      </c>
      <c r="L134" t="b">
        <v>1</v>
      </c>
    </row>
    <row r="135" spans="1:12" x14ac:dyDescent="0.25">
      <c r="A135">
        <v>10</v>
      </c>
      <c r="B135" t="s">
        <v>216</v>
      </c>
      <c r="C135">
        <v>4</v>
      </c>
      <c r="D135" t="s">
        <v>109</v>
      </c>
      <c r="E135">
        <v>8</v>
      </c>
      <c r="F135" t="s">
        <v>71</v>
      </c>
      <c r="G135" t="s">
        <v>217</v>
      </c>
      <c r="H135">
        <v>31</v>
      </c>
      <c r="I135">
        <v>31</v>
      </c>
      <c r="J135">
        <v>0</v>
      </c>
      <c r="K135">
        <v>0</v>
      </c>
      <c r="L135" t="b">
        <v>0</v>
      </c>
    </row>
    <row r="136" spans="1:12" x14ac:dyDescent="0.25">
      <c r="A136">
        <v>9</v>
      </c>
      <c r="B136" t="s">
        <v>218</v>
      </c>
      <c r="C136">
        <v>4</v>
      </c>
      <c r="D136" t="s">
        <v>109</v>
      </c>
      <c r="E136">
        <v>6</v>
      </c>
      <c r="F136" t="s">
        <v>126</v>
      </c>
      <c r="G136" t="s">
        <v>219</v>
      </c>
      <c r="H136">
        <v>97</v>
      </c>
      <c r="I136">
        <v>29</v>
      </c>
      <c r="J136">
        <v>0</v>
      </c>
      <c r="K136">
        <v>0</v>
      </c>
      <c r="L136" t="b">
        <v>1</v>
      </c>
    </row>
    <row r="137" spans="1:12" x14ac:dyDescent="0.25">
      <c r="A137">
        <v>3</v>
      </c>
      <c r="B137" t="s">
        <v>220</v>
      </c>
      <c r="C137">
        <v>1</v>
      </c>
      <c r="D137" t="s">
        <v>146</v>
      </c>
      <c r="E137">
        <v>2</v>
      </c>
      <c r="F137" t="s">
        <v>87</v>
      </c>
      <c r="G137" t="s">
        <v>221</v>
      </c>
      <c r="H137">
        <v>10</v>
      </c>
      <c r="I137">
        <v>13</v>
      </c>
      <c r="J137">
        <v>70</v>
      </c>
      <c r="K137">
        <v>25</v>
      </c>
      <c r="L137" t="b">
        <v>0</v>
      </c>
    </row>
    <row r="138" spans="1:12" x14ac:dyDescent="0.25">
      <c r="A138">
        <v>45</v>
      </c>
      <c r="B138" t="s">
        <v>222</v>
      </c>
      <c r="C138">
        <v>21</v>
      </c>
      <c r="D138" t="s">
        <v>103</v>
      </c>
      <c r="E138">
        <v>8</v>
      </c>
      <c r="F138" t="s">
        <v>71</v>
      </c>
      <c r="G138" t="s">
        <v>223</v>
      </c>
      <c r="H138">
        <v>9.5</v>
      </c>
      <c r="I138">
        <v>5</v>
      </c>
      <c r="J138">
        <v>70</v>
      </c>
      <c r="K138">
        <v>15</v>
      </c>
      <c r="L138" t="b">
        <v>0</v>
      </c>
    </row>
    <row r="139" spans="1:12" x14ac:dyDescent="0.25">
      <c r="A139">
        <v>21</v>
      </c>
      <c r="B139" t="s">
        <v>224</v>
      </c>
      <c r="C139">
        <v>8</v>
      </c>
      <c r="D139" t="s">
        <v>93</v>
      </c>
      <c r="E139">
        <v>3</v>
      </c>
      <c r="F139" t="s">
        <v>47</v>
      </c>
      <c r="G139" t="s">
        <v>225</v>
      </c>
      <c r="H139">
        <v>10</v>
      </c>
      <c r="I139">
        <v>3</v>
      </c>
      <c r="J139">
        <v>40</v>
      </c>
      <c r="K139">
        <v>5</v>
      </c>
      <c r="L139" t="b">
        <v>0</v>
      </c>
    </row>
    <row r="140" spans="1:12" x14ac:dyDescent="0.25">
      <c r="A140">
        <v>48</v>
      </c>
      <c r="B140" t="s">
        <v>226</v>
      </c>
      <c r="C140">
        <v>22</v>
      </c>
      <c r="D140" t="s">
        <v>96</v>
      </c>
      <c r="E140">
        <v>3</v>
      </c>
      <c r="F140" t="s">
        <v>47</v>
      </c>
      <c r="G140" t="s">
        <v>227</v>
      </c>
      <c r="H140">
        <v>12.75</v>
      </c>
      <c r="I140">
        <v>15</v>
      </c>
      <c r="J140">
        <v>70</v>
      </c>
      <c r="K140">
        <v>25</v>
      </c>
      <c r="L140" t="b">
        <v>0</v>
      </c>
    </row>
    <row r="141" spans="1:12" x14ac:dyDescent="0.25">
      <c r="A141">
        <v>56</v>
      </c>
      <c r="B141" t="s">
        <v>228</v>
      </c>
      <c r="C141">
        <v>26</v>
      </c>
      <c r="D141" t="s">
        <v>74</v>
      </c>
      <c r="E141">
        <v>5</v>
      </c>
      <c r="F141" t="s">
        <v>75</v>
      </c>
      <c r="G141" t="s">
        <v>76</v>
      </c>
      <c r="H141">
        <v>38</v>
      </c>
      <c r="I141">
        <v>21</v>
      </c>
      <c r="J141">
        <v>10</v>
      </c>
      <c r="K141">
        <v>30</v>
      </c>
      <c r="L141" t="b">
        <v>0</v>
      </c>
    </row>
    <row r="142" spans="1:12" x14ac:dyDescent="0.25">
      <c r="A142" t="s">
        <v>231</v>
      </c>
      <c r="F142">
        <f>SUBTOTAL(109,Tabla2[Nombre Categoria])</f>
        <v>0</v>
      </c>
      <c r="G142">
        <f>SUBTOTAL(109,Tabla2[Cantidad Por Unidad])</f>
        <v>0</v>
      </c>
      <c r="I142">
        <f>SUBTOTAL(109,Tabla2[Unidades En Existencia])</f>
        <v>3119</v>
      </c>
      <c r="J142">
        <f>SUBTOTAL(109,Tabla2[Unidades En Pedido])</f>
        <v>780</v>
      </c>
      <c r="K142">
        <f>SUBTOTAL(109,Tabla2[Nivel Nuevo Pedido])</f>
        <v>960</v>
      </c>
      <c r="L142">
        <f>SUBTOTAL(103,Tabla2[Suspendido])</f>
        <v>77</v>
      </c>
    </row>
  </sheetData>
  <mergeCells count="53">
    <mergeCell ref="A1:G5"/>
    <mergeCell ref="A7:G7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6:B26"/>
    <mergeCell ref="C26:D26"/>
    <mergeCell ref="G25:H25"/>
    <mergeCell ref="A29:I29"/>
    <mergeCell ref="A23:B23"/>
    <mergeCell ref="C23:D23"/>
    <mergeCell ref="A24:B24"/>
    <mergeCell ref="C24:D24"/>
    <mergeCell ref="A25:B25"/>
    <mergeCell ref="C25:D25"/>
    <mergeCell ref="A45:I45"/>
    <mergeCell ref="A55:I55"/>
    <mergeCell ref="A57:B57"/>
    <mergeCell ref="A58:B58"/>
    <mergeCell ref="A59:B59"/>
    <mergeCell ref="A61:B61"/>
    <mergeCell ref="A47:B47"/>
    <mergeCell ref="A48:B48"/>
    <mergeCell ref="A49:B49"/>
    <mergeCell ref="A50:B50"/>
    <mergeCell ref="A51:B51"/>
    <mergeCell ref="A52:B52"/>
    <mergeCell ref="A60:B60"/>
  </mergeCells>
  <conditionalFormatting sqref="A32:A43">
    <cfRule type="cellIs" dxfId="5" priority="12" operator="lessThan">
      <formula>50</formula>
    </cfRule>
  </conditionalFormatting>
  <conditionalFormatting sqref="B32:B43">
    <cfRule type="containsText" dxfId="4" priority="11" operator="containsText" text="Armando">
      <formula>NOT(ISERROR(SEARCH("Armando",B32)))</formula>
    </cfRule>
    <cfRule type="containsText" dxfId="3" priority="10" operator="containsText" text="LETICIA">
      <formula>NOT(ISERROR(SEARCH("LETICIA",B32)))</formula>
    </cfRule>
    <cfRule type="containsText" dxfId="2" priority="9" operator="containsText" text="PEDRO">
      <formula>NOT(ISERROR(SEARCH("PEDRO",B32)))</formula>
    </cfRule>
  </conditionalFormatting>
  <conditionalFormatting sqref="E32:E43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{B505C064-B8B6-46F1-88BC-057248CC34EC}</x14:id>
        </ext>
      </extLst>
    </cfRule>
  </conditionalFormatting>
  <conditionalFormatting sqref="C33:C43">
    <cfRule type="top10" dxfId="1" priority="2" rank="3"/>
  </conditionalFormatting>
  <conditionalFormatting sqref="D32:D43">
    <cfRule type="duplicateValues" dxfId="0" priority="1"/>
  </conditionalFormatting>
  <dataValidations count="6">
    <dataValidation type="whole" operator="greaterThan" allowBlank="1" showInputMessage="1" showErrorMessage="1" errorTitle="AVISO" error="PUEDES DAÑAR EL EQUIPO SI INSISTES" promptTitle="AVISO" prompt="SOLO SE PERMITENB NUMEROS ENTEROS MAYORES  A 100" sqref="C48">
      <formula1>100</formula1>
    </dataValidation>
    <dataValidation type="decimal" operator="lessThan" allowBlank="1" showInputMessage="1" showErrorMessage="1" sqref="C47">
      <formula1>1</formula1>
    </dataValidation>
    <dataValidation type="date" allowBlank="1" showInputMessage="1" showErrorMessage="1" sqref="C49">
      <formula1>44197</formula1>
      <formula2>44560</formula2>
    </dataValidation>
    <dataValidation type="whole" operator="notBetween" allowBlank="1" showInputMessage="1" showErrorMessage="1" sqref="C50">
      <formula1>10</formula1>
      <formula2>20</formula2>
    </dataValidation>
    <dataValidation type="list" allowBlank="1" showInputMessage="1" showErrorMessage="1" sqref="C52">
      <formula1>"paris - china - africa - hoduras - korea"</formula1>
    </dataValidation>
    <dataValidation type="textLength" operator="equal" allowBlank="1" showInputMessage="1" showErrorMessage="1" sqref="C51">
      <formula1>18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05C064-B8B6-46F1-88BC-057248CC34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E32:E43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selection activeCell="G1" sqref="G1"/>
    </sheetView>
  </sheetViews>
  <sheetFormatPr baseColWidth="10" defaultRowHeight="15" x14ac:dyDescent="0.25"/>
  <cols>
    <col min="1" max="1" width="16.5703125" customWidth="1"/>
  </cols>
  <sheetData>
    <row r="1" spans="1:6" x14ac:dyDescent="0.25">
      <c r="A1" s="32" t="s">
        <v>10</v>
      </c>
      <c r="B1" s="33"/>
      <c r="C1" s="13" t="s">
        <v>6</v>
      </c>
      <c r="D1" s="13"/>
      <c r="E1" s="13" t="s">
        <v>10</v>
      </c>
      <c r="F1" s="13"/>
    </row>
  </sheetData>
  <mergeCells count="3">
    <mergeCell ref="A1:B1"/>
    <mergeCell ref="C1:D1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9"/>
  <sheetViews>
    <sheetView workbookViewId="0">
      <selection activeCell="D2" sqref="D2"/>
    </sheetView>
  </sheetViews>
  <sheetFormatPr baseColWidth="10" defaultRowHeight="15" x14ac:dyDescent="0.25"/>
  <cols>
    <col min="1" max="1" width="13.28515625" customWidth="1"/>
    <col min="2" max="2" width="18.85546875" customWidth="1"/>
    <col min="3" max="3" width="14.5703125" customWidth="1"/>
    <col min="4" max="4" width="37.7109375" bestFit="1" customWidth="1"/>
    <col min="5" max="5" width="13.7109375" customWidth="1"/>
    <col min="6" max="6" width="19.28515625" customWidth="1"/>
    <col min="7" max="7" width="21.28515625" customWidth="1"/>
    <col min="8" max="8" width="15.5703125" customWidth="1"/>
    <col min="9" max="9" width="23.42578125" customWidth="1"/>
    <col min="10" max="11" width="20.85546875" customWidth="1"/>
    <col min="12" max="12" width="13.5703125" customWidth="1"/>
  </cols>
  <sheetData>
    <row r="1" spans="1:12" x14ac:dyDescent="0.25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5">
      <c r="A2">
        <v>16</v>
      </c>
      <c r="B2" t="s">
        <v>45</v>
      </c>
      <c r="C2">
        <v>7</v>
      </c>
      <c r="D2" t="s">
        <v>46</v>
      </c>
      <c r="E2">
        <v>3</v>
      </c>
      <c r="F2" t="s">
        <v>47</v>
      </c>
      <c r="G2" t="s">
        <v>48</v>
      </c>
      <c r="H2">
        <v>17.45</v>
      </c>
      <c r="I2">
        <v>29</v>
      </c>
      <c r="J2">
        <v>0</v>
      </c>
      <c r="K2">
        <v>10</v>
      </c>
      <c r="L2" t="b">
        <v>0</v>
      </c>
    </row>
    <row r="3" spans="1:12" x14ac:dyDescent="0.25">
      <c r="A3">
        <v>39</v>
      </c>
      <c r="B3" t="s">
        <v>49</v>
      </c>
      <c r="C3">
        <v>18</v>
      </c>
      <c r="D3" t="s">
        <v>50</v>
      </c>
      <c r="E3">
        <v>1</v>
      </c>
      <c r="F3" t="s">
        <v>51</v>
      </c>
      <c r="G3" t="s">
        <v>52</v>
      </c>
      <c r="H3">
        <v>18</v>
      </c>
      <c r="I3">
        <v>69</v>
      </c>
      <c r="J3">
        <v>0</v>
      </c>
      <c r="K3">
        <v>5</v>
      </c>
      <c r="L3" t="b">
        <v>0</v>
      </c>
    </row>
    <row r="4" spans="1:12" x14ac:dyDescent="0.25">
      <c r="A4">
        <v>12</v>
      </c>
      <c r="B4" t="s">
        <v>53</v>
      </c>
      <c r="C4">
        <v>5</v>
      </c>
      <c r="D4" t="s">
        <v>54</v>
      </c>
      <c r="E4">
        <v>4</v>
      </c>
      <c r="F4" t="s">
        <v>55</v>
      </c>
      <c r="G4" t="s">
        <v>56</v>
      </c>
      <c r="H4">
        <v>38</v>
      </c>
      <c r="I4">
        <v>86</v>
      </c>
      <c r="J4">
        <v>0</v>
      </c>
      <c r="K4">
        <v>0</v>
      </c>
      <c r="L4" t="b">
        <v>0</v>
      </c>
    </row>
    <row r="5" spans="1:12" x14ac:dyDescent="0.25">
      <c r="A5">
        <v>67</v>
      </c>
      <c r="B5" t="s">
        <v>57</v>
      </c>
      <c r="C5">
        <v>16</v>
      </c>
      <c r="D5" t="s">
        <v>58</v>
      </c>
      <c r="E5">
        <v>1</v>
      </c>
      <c r="F5" t="s">
        <v>51</v>
      </c>
      <c r="G5" t="s">
        <v>59</v>
      </c>
      <c r="H5">
        <v>14</v>
      </c>
      <c r="I5">
        <v>52</v>
      </c>
      <c r="J5">
        <v>0</v>
      </c>
      <c r="K5">
        <v>10</v>
      </c>
      <c r="L5" t="b">
        <v>0</v>
      </c>
    </row>
    <row r="6" spans="1:12" x14ac:dyDescent="0.25">
      <c r="A6">
        <v>28</v>
      </c>
      <c r="B6" t="s">
        <v>60</v>
      </c>
      <c r="C6">
        <v>12</v>
      </c>
      <c r="D6" t="s">
        <v>61</v>
      </c>
      <c r="E6">
        <v>7</v>
      </c>
      <c r="F6" t="s">
        <v>62</v>
      </c>
      <c r="G6" t="s">
        <v>63</v>
      </c>
      <c r="H6">
        <v>45.6</v>
      </c>
      <c r="I6">
        <v>26</v>
      </c>
      <c r="J6">
        <v>0</v>
      </c>
      <c r="K6">
        <v>0</v>
      </c>
      <c r="L6" t="b">
        <v>1</v>
      </c>
    </row>
    <row r="7" spans="1:12" x14ac:dyDescent="0.25">
      <c r="A7">
        <v>24</v>
      </c>
      <c r="B7" t="s">
        <v>64</v>
      </c>
      <c r="C7">
        <v>10</v>
      </c>
      <c r="D7" t="s">
        <v>65</v>
      </c>
      <c r="E7">
        <v>1</v>
      </c>
      <c r="F7" t="s">
        <v>51</v>
      </c>
      <c r="G7" t="s">
        <v>66</v>
      </c>
      <c r="H7">
        <v>4.5</v>
      </c>
      <c r="I7">
        <v>20</v>
      </c>
      <c r="J7">
        <v>0</v>
      </c>
      <c r="K7">
        <v>0</v>
      </c>
      <c r="L7" t="b">
        <v>1</v>
      </c>
    </row>
    <row r="8" spans="1:12" x14ac:dyDescent="0.25">
      <c r="A8">
        <v>59</v>
      </c>
      <c r="B8" t="s">
        <v>67</v>
      </c>
      <c r="C8">
        <v>28</v>
      </c>
      <c r="D8" t="s">
        <v>68</v>
      </c>
      <c r="E8">
        <v>4</v>
      </c>
      <c r="F8" t="s">
        <v>55</v>
      </c>
      <c r="G8" t="s">
        <v>69</v>
      </c>
      <c r="H8">
        <v>55</v>
      </c>
      <c r="I8">
        <v>79</v>
      </c>
      <c r="J8">
        <v>0</v>
      </c>
      <c r="K8">
        <v>0</v>
      </c>
      <c r="L8" t="b">
        <v>0</v>
      </c>
    </row>
    <row r="9" spans="1:12" x14ac:dyDescent="0.25">
      <c r="A9">
        <v>18</v>
      </c>
      <c r="B9" t="s">
        <v>70</v>
      </c>
      <c r="C9">
        <v>7</v>
      </c>
      <c r="D9" t="s">
        <v>46</v>
      </c>
      <c r="E9">
        <v>8</v>
      </c>
      <c r="F9" t="s">
        <v>71</v>
      </c>
      <c r="G9" t="s">
        <v>72</v>
      </c>
      <c r="H9">
        <v>62.5</v>
      </c>
      <c r="I9">
        <v>42</v>
      </c>
      <c r="J9">
        <v>0</v>
      </c>
      <c r="K9">
        <v>0</v>
      </c>
      <c r="L9" t="b">
        <v>0</v>
      </c>
    </row>
    <row r="10" spans="1:12" x14ac:dyDescent="0.25">
      <c r="A10">
        <v>57</v>
      </c>
      <c r="B10" t="s">
        <v>73</v>
      </c>
      <c r="C10">
        <v>26</v>
      </c>
      <c r="D10" t="s">
        <v>74</v>
      </c>
      <c r="E10">
        <v>5</v>
      </c>
      <c r="F10" t="s">
        <v>75</v>
      </c>
      <c r="G10" t="s">
        <v>76</v>
      </c>
      <c r="H10">
        <v>19.5</v>
      </c>
      <c r="I10">
        <v>36</v>
      </c>
      <c r="J10">
        <v>0</v>
      </c>
      <c r="K10">
        <v>20</v>
      </c>
      <c r="L10" t="b">
        <v>0</v>
      </c>
    </row>
    <row r="11" spans="1:12" x14ac:dyDescent="0.25">
      <c r="A11">
        <v>30</v>
      </c>
      <c r="B11" t="s">
        <v>77</v>
      </c>
      <c r="C11">
        <v>13</v>
      </c>
      <c r="D11" t="s">
        <v>78</v>
      </c>
      <c r="E11">
        <v>8</v>
      </c>
      <c r="F11" t="s">
        <v>71</v>
      </c>
      <c r="G11" t="s">
        <v>79</v>
      </c>
      <c r="H11">
        <v>25.89</v>
      </c>
      <c r="I11">
        <v>10</v>
      </c>
      <c r="J11">
        <v>0</v>
      </c>
      <c r="K11">
        <v>15</v>
      </c>
      <c r="L11" t="b">
        <v>0</v>
      </c>
    </row>
    <row r="12" spans="1:12" x14ac:dyDescent="0.25">
      <c r="A12">
        <v>26</v>
      </c>
      <c r="B12" t="s">
        <v>80</v>
      </c>
      <c r="C12">
        <v>11</v>
      </c>
      <c r="D12" t="s">
        <v>81</v>
      </c>
      <c r="E12">
        <v>3</v>
      </c>
      <c r="F12" t="s">
        <v>47</v>
      </c>
      <c r="G12" t="s">
        <v>82</v>
      </c>
      <c r="H12">
        <v>31.23</v>
      </c>
      <c r="I12">
        <v>15</v>
      </c>
      <c r="J12">
        <v>0</v>
      </c>
      <c r="K12">
        <v>0</v>
      </c>
      <c r="L12" t="b">
        <v>0</v>
      </c>
    </row>
    <row r="13" spans="1:12" x14ac:dyDescent="0.25">
      <c r="A13">
        <v>25</v>
      </c>
      <c r="B13" t="s">
        <v>83</v>
      </c>
      <c r="C13">
        <v>11</v>
      </c>
      <c r="D13" t="s">
        <v>81</v>
      </c>
      <c r="E13">
        <v>3</v>
      </c>
      <c r="F13" t="s">
        <v>47</v>
      </c>
      <c r="G13" t="s">
        <v>84</v>
      </c>
      <c r="H13">
        <v>14</v>
      </c>
      <c r="I13">
        <v>76</v>
      </c>
      <c r="J13">
        <v>0</v>
      </c>
      <c r="K13">
        <v>30</v>
      </c>
      <c r="L13" t="b">
        <v>0</v>
      </c>
    </row>
    <row r="14" spans="1:12" x14ac:dyDescent="0.25">
      <c r="A14">
        <v>6</v>
      </c>
      <c r="B14" t="s">
        <v>85</v>
      </c>
      <c r="C14">
        <v>3</v>
      </c>
      <c r="D14" t="s">
        <v>86</v>
      </c>
      <c r="E14">
        <v>2</v>
      </c>
      <c r="F14" t="s">
        <v>87</v>
      </c>
      <c r="G14" t="s">
        <v>88</v>
      </c>
      <c r="H14">
        <v>25</v>
      </c>
      <c r="I14">
        <v>120</v>
      </c>
      <c r="J14">
        <v>0</v>
      </c>
      <c r="K14">
        <v>25</v>
      </c>
      <c r="L14" t="b">
        <v>0</v>
      </c>
    </row>
    <row r="15" spans="1:12" x14ac:dyDescent="0.25">
      <c r="A15">
        <v>33</v>
      </c>
      <c r="B15" t="s">
        <v>89</v>
      </c>
      <c r="C15">
        <v>15</v>
      </c>
      <c r="D15" t="s">
        <v>90</v>
      </c>
      <c r="E15">
        <v>4</v>
      </c>
      <c r="F15" t="s">
        <v>55</v>
      </c>
      <c r="G15" t="s">
        <v>91</v>
      </c>
      <c r="H15">
        <v>2.5</v>
      </c>
      <c r="I15">
        <v>112</v>
      </c>
      <c r="J15">
        <v>0</v>
      </c>
      <c r="K15">
        <v>20</v>
      </c>
      <c r="L15" t="b">
        <v>0</v>
      </c>
    </row>
    <row r="16" spans="1:12" x14ac:dyDescent="0.25">
      <c r="A16">
        <v>68</v>
      </c>
      <c r="B16" t="s">
        <v>92</v>
      </c>
      <c r="C16">
        <v>8</v>
      </c>
      <c r="D16" t="s">
        <v>93</v>
      </c>
      <c r="E16">
        <v>3</v>
      </c>
      <c r="F16" t="s">
        <v>47</v>
      </c>
      <c r="G16" t="s">
        <v>94</v>
      </c>
      <c r="H16">
        <v>12.5</v>
      </c>
      <c r="I16">
        <v>6</v>
      </c>
      <c r="J16">
        <v>10</v>
      </c>
      <c r="K16">
        <v>15</v>
      </c>
      <c r="L16" t="b">
        <v>0</v>
      </c>
    </row>
    <row r="17" spans="1:12" x14ac:dyDescent="0.25">
      <c r="A17">
        <v>47</v>
      </c>
      <c r="B17" t="s">
        <v>95</v>
      </c>
      <c r="C17">
        <v>22</v>
      </c>
      <c r="D17" t="s">
        <v>96</v>
      </c>
      <c r="E17">
        <v>3</v>
      </c>
      <c r="F17" t="s">
        <v>47</v>
      </c>
      <c r="G17" t="s">
        <v>97</v>
      </c>
      <c r="H17">
        <v>9.5</v>
      </c>
      <c r="I17">
        <v>36</v>
      </c>
      <c r="J17">
        <v>0</v>
      </c>
      <c r="K17">
        <v>0</v>
      </c>
      <c r="L17" t="b">
        <v>0</v>
      </c>
    </row>
    <row r="18" spans="1:12" x14ac:dyDescent="0.25">
      <c r="A18">
        <v>27</v>
      </c>
      <c r="B18" t="s">
        <v>98</v>
      </c>
      <c r="C18">
        <v>11</v>
      </c>
      <c r="D18" t="s">
        <v>81</v>
      </c>
      <c r="E18">
        <v>3</v>
      </c>
      <c r="F18" t="s">
        <v>47</v>
      </c>
      <c r="G18" t="s">
        <v>99</v>
      </c>
      <c r="H18">
        <v>43.9</v>
      </c>
      <c r="I18">
        <v>49</v>
      </c>
      <c r="J18">
        <v>0</v>
      </c>
      <c r="K18">
        <v>30</v>
      </c>
      <c r="L18" t="b">
        <v>0</v>
      </c>
    </row>
    <row r="19" spans="1:12" x14ac:dyDescent="0.25">
      <c r="A19">
        <v>77</v>
      </c>
      <c r="B19" t="s">
        <v>100</v>
      </c>
      <c r="C19">
        <v>12</v>
      </c>
      <c r="D19" t="s">
        <v>61</v>
      </c>
      <c r="E19">
        <v>2</v>
      </c>
      <c r="F19" t="s">
        <v>87</v>
      </c>
      <c r="G19" t="s">
        <v>101</v>
      </c>
      <c r="H19">
        <v>13</v>
      </c>
      <c r="I19">
        <v>32</v>
      </c>
      <c r="J19">
        <v>0</v>
      </c>
      <c r="K19">
        <v>15</v>
      </c>
      <c r="L19" t="b">
        <v>0</v>
      </c>
    </row>
    <row r="20" spans="1:12" x14ac:dyDescent="0.25">
      <c r="A20">
        <v>46</v>
      </c>
      <c r="B20" t="s">
        <v>102</v>
      </c>
      <c r="C20">
        <v>21</v>
      </c>
      <c r="D20" t="s">
        <v>103</v>
      </c>
      <c r="E20">
        <v>8</v>
      </c>
      <c r="F20" t="s">
        <v>71</v>
      </c>
      <c r="G20" t="s">
        <v>104</v>
      </c>
      <c r="H20">
        <v>12</v>
      </c>
      <c r="I20">
        <v>95</v>
      </c>
      <c r="J20">
        <v>0</v>
      </c>
      <c r="K20">
        <v>0</v>
      </c>
      <c r="L20" t="b">
        <v>0</v>
      </c>
    </row>
    <row r="21" spans="1:12" x14ac:dyDescent="0.25">
      <c r="A21">
        <v>8</v>
      </c>
      <c r="B21" t="s">
        <v>105</v>
      </c>
      <c r="C21">
        <v>3</v>
      </c>
      <c r="D21" t="s">
        <v>86</v>
      </c>
      <c r="E21">
        <v>2</v>
      </c>
      <c r="F21" t="s">
        <v>87</v>
      </c>
      <c r="G21" t="s">
        <v>106</v>
      </c>
      <c r="H21">
        <v>40</v>
      </c>
      <c r="I21">
        <v>6</v>
      </c>
      <c r="J21">
        <v>0</v>
      </c>
      <c r="K21">
        <v>0</v>
      </c>
      <c r="L21" t="b">
        <v>0</v>
      </c>
    </row>
    <row r="22" spans="1:12" x14ac:dyDescent="0.25">
      <c r="A22">
        <v>35</v>
      </c>
      <c r="B22" t="s">
        <v>107</v>
      </c>
      <c r="C22">
        <v>16</v>
      </c>
      <c r="D22" t="s">
        <v>58</v>
      </c>
      <c r="E22">
        <v>1</v>
      </c>
      <c r="F22" t="s">
        <v>51</v>
      </c>
      <c r="G22" t="s">
        <v>59</v>
      </c>
      <c r="H22">
        <v>18</v>
      </c>
      <c r="I22">
        <v>20</v>
      </c>
      <c r="J22">
        <v>0</v>
      </c>
      <c r="K22">
        <v>15</v>
      </c>
      <c r="L22" t="b">
        <v>0</v>
      </c>
    </row>
    <row r="23" spans="1:12" x14ac:dyDescent="0.25">
      <c r="A23">
        <v>74</v>
      </c>
      <c r="B23" t="s">
        <v>108</v>
      </c>
      <c r="C23">
        <v>4</v>
      </c>
      <c r="D23" t="s">
        <v>109</v>
      </c>
      <c r="E23">
        <v>7</v>
      </c>
      <c r="F23" t="s">
        <v>62</v>
      </c>
      <c r="G23" t="s">
        <v>69</v>
      </c>
      <c r="H23">
        <v>10</v>
      </c>
      <c r="I23">
        <v>4</v>
      </c>
      <c r="J23">
        <v>20</v>
      </c>
      <c r="K23">
        <v>5</v>
      </c>
      <c r="L23" t="b">
        <v>0</v>
      </c>
    </row>
    <row r="24" spans="1:12" x14ac:dyDescent="0.25">
      <c r="A24">
        <v>11</v>
      </c>
      <c r="B24" t="s">
        <v>110</v>
      </c>
      <c r="C24">
        <v>5</v>
      </c>
      <c r="D24" t="s">
        <v>54</v>
      </c>
      <c r="E24">
        <v>4</v>
      </c>
      <c r="F24" t="s">
        <v>55</v>
      </c>
      <c r="G24" t="s">
        <v>111</v>
      </c>
      <c r="H24">
        <v>21</v>
      </c>
      <c r="I24">
        <v>22</v>
      </c>
      <c r="J24">
        <v>30</v>
      </c>
      <c r="K24">
        <v>30</v>
      </c>
      <c r="L24" t="b">
        <v>0</v>
      </c>
    </row>
    <row r="25" spans="1:12" x14ac:dyDescent="0.25">
      <c r="A25">
        <v>36</v>
      </c>
      <c r="B25" t="s">
        <v>112</v>
      </c>
      <c r="C25">
        <v>17</v>
      </c>
      <c r="D25" t="s">
        <v>113</v>
      </c>
      <c r="E25">
        <v>8</v>
      </c>
      <c r="F25" t="s">
        <v>71</v>
      </c>
      <c r="G25" t="s">
        <v>114</v>
      </c>
      <c r="H25">
        <v>19</v>
      </c>
      <c r="I25">
        <v>112</v>
      </c>
      <c r="J25">
        <v>0</v>
      </c>
      <c r="K25">
        <v>20</v>
      </c>
      <c r="L25" t="b">
        <v>0</v>
      </c>
    </row>
    <row r="26" spans="1:12" x14ac:dyDescent="0.25">
      <c r="A26">
        <v>7</v>
      </c>
      <c r="B26" t="s">
        <v>115</v>
      </c>
      <c r="C26">
        <v>3</v>
      </c>
      <c r="D26" t="s">
        <v>86</v>
      </c>
      <c r="E26">
        <v>7</v>
      </c>
      <c r="F26" t="s">
        <v>62</v>
      </c>
      <c r="G26" t="s">
        <v>116</v>
      </c>
      <c r="H26">
        <v>30</v>
      </c>
      <c r="I26">
        <v>15</v>
      </c>
      <c r="J26">
        <v>0</v>
      </c>
      <c r="K26">
        <v>10</v>
      </c>
      <c r="L26" t="b">
        <v>0</v>
      </c>
    </row>
    <row r="27" spans="1:12" x14ac:dyDescent="0.25">
      <c r="A27">
        <v>38</v>
      </c>
      <c r="B27" t="s">
        <v>117</v>
      </c>
      <c r="C27">
        <v>18</v>
      </c>
      <c r="D27" t="s">
        <v>50</v>
      </c>
      <c r="E27">
        <v>1</v>
      </c>
      <c r="F27" t="s">
        <v>51</v>
      </c>
      <c r="G27" t="s">
        <v>118</v>
      </c>
      <c r="H27">
        <v>263.5</v>
      </c>
      <c r="I27">
        <v>17</v>
      </c>
      <c r="J27">
        <v>0</v>
      </c>
      <c r="K27">
        <v>15</v>
      </c>
      <c r="L27" t="b">
        <v>0</v>
      </c>
    </row>
    <row r="28" spans="1:12" x14ac:dyDescent="0.25">
      <c r="A28">
        <v>4</v>
      </c>
      <c r="B28" t="s">
        <v>119</v>
      </c>
      <c r="C28">
        <v>2</v>
      </c>
      <c r="D28" t="s">
        <v>120</v>
      </c>
      <c r="E28">
        <v>2</v>
      </c>
      <c r="F28" t="s">
        <v>87</v>
      </c>
      <c r="G28" t="s">
        <v>121</v>
      </c>
      <c r="H28">
        <v>22</v>
      </c>
      <c r="I28">
        <v>53</v>
      </c>
      <c r="J28">
        <v>0</v>
      </c>
      <c r="K28">
        <v>0</v>
      </c>
      <c r="L28" t="b">
        <v>0</v>
      </c>
    </row>
    <row r="29" spans="1:12" x14ac:dyDescent="0.25">
      <c r="A29">
        <v>41</v>
      </c>
      <c r="B29" t="s">
        <v>122</v>
      </c>
      <c r="C29">
        <v>19</v>
      </c>
      <c r="D29" t="s">
        <v>123</v>
      </c>
      <c r="E29">
        <v>8</v>
      </c>
      <c r="F29" t="s">
        <v>71</v>
      </c>
      <c r="G29" t="s">
        <v>124</v>
      </c>
      <c r="H29">
        <v>9.65</v>
      </c>
      <c r="I29">
        <v>85</v>
      </c>
      <c r="J29">
        <v>0</v>
      </c>
      <c r="K29">
        <v>10</v>
      </c>
      <c r="L29" t="b">
        <v>0</v>
      </c>
    </row>
    <row r="30" spans="1:12" x14ac:dyDescent="0.25">
      <c r="A30">
        <v>17</v>
      </c>
      <c r="B30" t="s">
        <v>125</v>
      </c>
      <c r="C30">
        <v>7</v>
      </c>
      <c r="D30" t="s">
        <v>46</v>
      </c>
      <c r="E30">
        <v>6</v>
      </c>
      <c r="F30" t="s">
        <v>126</v>
      </c>
      <c r="G30" t="s">
        <v>127</v>
      </c>
      <c r="H30">
        <v>39</v>
      </c>
      <c r="I30">
        <v>0</v>
      </c>
      <c r="J30">
        <v>0</v>
      </c>
      <c r="K30">
        <v>0</v>
      </c>
      <c r="L30" t="b">
        <v>1</v>
      </c>
    </row>
    <row r="31" spans="1:12" x14ac:dyDescent="0.25">
      <c r="A31">
        <v>13</v>
      </c>
      <c r="B31" t="s">
        <v>128</v>
      </c>
      <c r="C31">
        <v>6</v>
      </c>
      <c r="D31" t="s">
        <v>129</v>
      </c>
      <c r="E31">
        <v>8</v>
      </c>
      <c r="F31" t="s">
        <v>71</v>
      </c>
      <c r="G31" t="s">
        <v>130</v>
      </c>
      <c r="H31">
        <v>6</v>
      </c>
      <c r="I31">
        <v>24</v>
      </c>
      <c r="J31">
        <v>0</v>
      </c>
      <c r="K31">
        <v>5</v>
      </c>
      <c r="L31" t="b">
        <v>0</v>
      </c>
    </row>
    <row r="32" spans="1:12" x14ac:dyDescent="0.25">
      <c r="A32">
        <v>64</v>
      </c>
      <c r="B32" t="s">
        <v>131</v>
      </c>
      <c r="C32">
        <v>12</v>
      </c>
      <c r="D32" t="s">
        <v>61</v>
      </c>
      <c r="E32">
        <v>5</v>
      </c>
      <c r="F32" t="s">
        <v>75</v>
      </c>
      <c r="G32" t="s">
        <v>132</v>
      </c>
      <c r="H32">
        <v>33.25</v>
      </c>
      <c r="I32">
        <v>22</v>
      </c>
      <c r="J32">
        <v>80</v>
      </c>
      <c r="K32">
        <v>30</v>
      </c>
      <c r="L32" t="b">
        <v>0</v>
      </c>
    </row>
    <row r="33" spans="1:12" x14ac:dyDescent="0.25">
      <c r="A33">
        <v>65</v>
      </c>
      <c r="B33" t="s">
        <v>133</v>
      </c>
      <c r="C33">
        <v>2</v>
      </c>
      <c r="D33" t="s">
        <v>120</v>
      </c>
      <c r="E33">
        <v>2</v>
      </c>
      <c r="F33" t="s">
        <v>87</v>
      </c>
      <c r="G33" t="s">
        <v>134</v>
      </c>
      <c r="H33">
        <v>21.05</v>
      </c>
      <c r="I33">
        <v>76</v>
      </c>
      <c r="J33">
        <v>0</v>
      </c>
      <c r="K33">
        <v>0</v>
      </c>
      <c r="L33" t="b">
        <v>0</v>
      </c>
    </row>
    <row r="34" spans="1:12" x14ac:dyDescent="0.25">
      <c r="A34">
        <v>50</v>
      </c>
      <c r="B34" t="s">
        <v>135</v>
      </c>
      <c r="C34">
        <v>23</v>
      </c>
      <c r="D34" t="s">
        <v>136</v>
      </c>
      <c r="E34">
        <v>3</v>
      </c>
      <c r="F34" t="s">
        <v>47</v>
      </c>
      <c r="G34" t="s">
        <v>137</v>
      </c>
      <c r="H34">
        <v>16.25</v>
      </c>
      <c r="I34">
        <v>65</v>
      </c>
      <c r="J34">
        <v>0</v>
      </c>
      <c r="K34">
        <v>30</v>
      </c>
      <c r="L34" t="b">
        <v>0</v>
      </c>
    </row>
    <row r="35" spans="1:12" x14ac:dyDescent="0.25">
      <c r="A35">
        <v>63</v>
      </c>
      <c r="B35" t="s">
        <v>138</v>
      </c>
      <c r="C35">
        <v>7</v>
      </c>
      <c r="D35" t="s">
        <v>46</v>
      </c>
      <c r="E35">
        <v>2</v>
      </c>
      <c r="F35" t="s">
        <v>87</v>
      </c>
      <c r="G35" t="s">
        <v>139</v>
      </c>
      <c r="H35">
        <v>43.9</v>
      </c>
      <c r="I35">
        <v>24</v>
      </c>
      <c r="J35">
        <v>0</v>
      </c>
      <c r="K35">
        <v>5</v>
      </c>
      <c r="L35" t="b">
        <v>0</v>
      </c>
    </row>
    <row r="36" spans="1:12" x14ac:dyDescent="0.25">
      <c r="A36">
        <v>75</v>
      </c>
      <c r="B36" t="s">
        <v>140</v>
      </c>
      <c r="C36">
        <v>12</v>
      </c>
      <c r="D36" t="s">
        <v>61</v>
      </c>
      <c r="E36">
        <v>1</v>
      </c>
      <c r="F36" t="s">
        <v>51</v>
      </c>
      <c r="G36" t="s">
        <v>141</v>
      </c>
      <c r="H36">
        <v>7.75</v>
      </c>
      <c r="I36">
        <v>125</v>
      </c>
      <c r="J36">
        <v>0</v>
      </c>
      <c r="K36">
        <v>25</v>
      </c>
      <c r="L36" t="b">
        <v>0</v>
      </c>
    </row>
    <row r="37" spans="1:12" x14ac:dyDescent="0.25">
      <c r="A37">
        <v>52</v>
      </c>
      <c r="B37" t="s">
        <v>142</v>
      </c>
      <c r="C37">
        <v>24</v>
      </c>
      <c r="D37" t="s">
        <v>143</v>
      </c>
      <c r="E37">
        <v>5</v>
      </c>
      <c r="F37" t="s">
        <v>75</v>
      </c>
      <c r="G37" t="s">
        <v>144</v>
      </c>
      <c r="H37">
        <v>7</v>
      </c>
      <c r="I37">
        <v>38</v>
      </c>
      <c r="J37">
        <v>0</v>
      </c>
      <c r="K37">
        <v>25</v>
      </c>
      <c r="L37" t="b">
        <v>0</v>
      </c>
    </row>
    <row r="38" spans="1:12" x14ac:dyDescent="0.25">
      <c r="A38">
        <v>2</v>
      </c>
      <c r="B38" t="s">
        <v>145</v>
      </c>
      <c r="C38">
        <v>1</v>
      </c>
      <c r="D38" t="s">
        <v>146</v>
      </c>
      <c r="E38">
        <v>1</v>
      </c>
      <c r="F38" t="s">
        <v>51</v>
      </c>
      <c r="G38" t="s">
        <v>59</v>
      </c>
      <c r="H38">
        <v>19</v>
      </c>
      <c r="I38">
        <v>17</v>
      </c>
      <c r="J38">
        <v>40</v>
      </c>
      <c r="K38">
        <v>25</v>
      </c>
      <c r="L38" t="b">
        <v>0</v>
      </c>
    </row>
    <row r="39" spans="1:12" x14ac:dyDescent="0.25">
      <c r="A39">
        <v>69</v>
      </c>
      <c r="B39" t="s">
        <v>147</v>
      </c>
      <c r="C39">
        <v>15</v>
      </c>
      <c r="D39" t="s">
        <v>90</v>
      </c>
      <c r="E39">
        <v>4</v>
      </c>
      <c r="F39" t="s">
        <v>55</v>
      </c>
      <c r="G39" t="s">
        <v>148</v>
      </c>
      <c r="H39">
        <v>36</v>
      </c>
      <c r="I39">
        <v>26</v>
      </c>
      <c r="J39">
        <v>0</v>
      </c>
      <c r="K39">
        <v>15</v>
      </c>
      <c r="L39" t="b">
        <v>0</v>
      </c>
    </row>
    <row r="40" spans="1:12" x14ac:dyDescent="0.25">
      <c r="A40">
        <v>44</v>
      </c>
      <c r="B40" t="s">
        <v>149</v>
      </c>
      <c r="C40">
        <v>20</v>
      </c>
      <c r="D40" t="s">
        <v>150</v>
      </c>
      <c r="E40">
        <v>2</v>
      </c>
      <c r="F40" t="s">
        <v>87</v>
      </c>
      <c r="G40" t="s">
        <v>151</v>
      </c>
      <c r="H40">
        <v>19.45</v>
      </c>
      <c r="I40">
        <v>27</v>
      </c>
      <c r="J40">
        <v>0</v>
      </c>
      <c r="K40">
        <v>15</v>
      </c>
      <c r="L40" t="b">
        <v>0</v>
      </c>
    </row>
    <row r="41" spans="1:12" x14ac:dyDescent="0.25">
      <c r="A41">
        <v>60</v>
      </c>
      <c r="B41" t="s">
        <v>152</v>
      </c>
      <c r="C41">
        <v>28</v>
      </c>
      <c r="D41" t="s">
        <v>68</v>
      </c>
      <c r="E41">
        <v>4</v>
      </c>
      <c r="F41" t="s">
        <v>55</v>
      </c>
      <c r="G41" t="s">
        <v>153</v>
      </c>
      <c r="H41">
        <v>34</v>
      </c>
      <c r="I41">
        <v>19</v>
      </c>
      <c r="J41">
        <v>0</v>
      </c>
      <c r="K41">
        <v>0</v>
      </c>
      <c r="L41" t="b">
        <v>0</v>
      </c>
    </row>
    <row r="42" spans="1:12" x14ac:dyDescent="0.25">
      <c r="A42">
        <v>37</v>
      </c>
      <c r="B42" t="s">
        <v>154</v>
      </c>
      <c r="C42">
        <v>17</v>
      </c>
      <c r="D42" t="s">
        <v>113</v>
      </c>
      <c r="E42">
        <v>8</v>
      </c>
      <c r="F42" t="s">
        <v>71</v>
      </c>
      <c r="G42" t="s">
        <v>155</v>
      </c>
      <c r="H42">
        <v>26</v>
      </c>
      <c r="I42">
        <v>11</v>
      </c>
      <c r="J42">
        <v>50</v>
      </c>
      <c r="K42">
        <v>25</v>
      </c>
      <c r="L42" t="b">
        <v>0</v>
      </c>
    </row>
    <row r="43" spans="1:12" x14ac:dyDescent="0.25">
      <c r="A43">
        <v>49</v>
      </c>
      <c r="B43" t="s">
        <v>156</v>
      </c>
      <c r="C43">
        <v>23</v>
      </c>
      <c r="D43" t="s">
        <v>136</v>
      </c>
      <c r="E43">
        <v>3</v>
      </c>
      <c r="F43" t="s">
        <v>47</v>
      </c>
      <c r="G43" t="s">
        <v>157</v>
      </c>
      <c r="H43">
        <v>20</v>
      </c>
      <c r="I43">
        <v>10</v>
      </c>
      <c r="J43">
        <v>60</v>
      </c>
      <c r="K43">
        <v>15</v>
      </c>
      <c r="L43" t="b">
        <v>0</v>
      </c>
    </row>
    <row r="44" spans="1:12" x14ac:dyDescent="0.25">
      <c r="A44">
        <v>51</v>
      </c>
      <c r="B44" t="s">
        <v>158</v>
      </c>
      <c r="C44">
        <v>24</v>
      </c>
      <c r="D44" t="s">
        <v>143</v>
      </c>
      <c r="E44">
        <v>7</v>
      </c>
      <c r="F44" t="s">
        <v>62</v>
      </c>
      <c r="G44" t="s">
        <v>159</v>
      </c>
      <c r="H44">
        <v>53</v>
      </c>
      <c r="I44">
        <v>20</v>
      </c>
      <c r="J44">
        <v>0</v>
      </c>
      <c r="K44">
        <v>10</v>
      </c>
      <c r="L44" t="b">
        <v>0</v>
      </c>
    </row>
    <row r="45" spans="1:12" x14ac:dyDescent="0.25">
      <c r="A45">
        <v>54</v>
      </c>
      <c r="B45" t="s">
        <v>160</v>
      </c>
      <c r="C45">
        <v>25</v>
      </c>
      <c r="D45" t="s">
        <v>161</v>
      </c>
      <c r="E45">
        <v>6</v>
      </c>
      <c r="F45" t="s">
        <v>126</v>
      </c>
      <c r="G45" t="s">
        <v>162</v>
      </c>
      <c r="H45">
        <v>7.45</v>
      </c>
      <c r="I45">
        <v>21</v>
      </c>
      <c r="J45">
        <v>0</v>
      </c>
      <c r="K45">
        <v>10</v>
      </c>
      <c r="L45" t="b">
        <v>0</v>
      </c>
    </row>
    <row r="46" spans="1:12" x14ac:dyDescent="0.25">
      <c r="A46">
        <v>62</v>
      </c>
      <c r="B46" t="s">
        <v>163</v>
      </c>
      <c r="C46">
        <v>29</v>
      </c>
      <c r="D46" t="s">
        <v>164</v>
      </c>
      <c r="E46">
        <v>3</v>
      </c>
      <c r="F46" t="s">
        <v>47</v>
      </c>
      <c r="G46" t="s">
        <v>165</v>
      </c>
      <c r="H46">
        <v>49.3</v>
      </c>
      <c r="I46">
        <v>17</v>
      </c>
      <c r="J46">
        <v>0</v>
      </c>
      <c r="K46">
        <v>0</v>
      </c>
      <c r="L46" t="b">
        <v>0</v>
      </c>
    </row>
    <row r="47" spans="1:12" x14ac:dyDescent="0.25">
      <c r="A47">
        <v>42</v>
      </c>
      <c r="B47" t="s">
        <v>166</v>
      </c>
      <c r="C47">
        <v>20</v>
      </c>
      <c r="D47" t="s">
        <v>150</v>
      </c>
      <c r="E47">
        <v>5</v>
      </c>
      <c r="F47" t="s">
        <v>75</v>
      </c>
      <c r="G47" t="s">
        <v>167</v>
      </c>
      <c r="H47">
        <v>14</v>
      </c>
      <c r="I47">
        <v>26</v>
      </c>
      <c r="J47">
        <v>0</v>
      </c>
      <c r="K47">
        <v>0</v>
      </c>
      <c r="L47" t="b">
        <v>1</v>
      </c>
    </row>
    <row r="48" spans="1:12" x14ac:dyDescent="0.25">
      <c r="A48">
        <v>70</v>
      </c>
      <c r="B48" t="s">
        <v>168</v>
      </c>
      <c r="C48">
        <v>7</v>
      </c>
      <c r="D48" t="s">
        <v>46</v>
      </c>
      <c r="E48">
        <v>1</v>
      </c>
      <c r="F48" t="s">
        <v>51</v>
      </c>
      <c r="G48" t="s">
        <v>169</v>
      </c>
      <c r="H48">
        <v>15</v>
      </c>
      <c r="I48">
        <v>15</v>
      </c>
      <c r="J48">
        <v>10</v>
      </c>
      <c r="K48">
        <v>30</v>
      </c>
      <c r="L48" t="b">
        <v>0</v>
      </c>
    </row>
    <row r="49" spans="1:12" x14ac:dyDescent="0.25">
      <c r="A49">
        <v>5</v>
      </c>
      <c r="B49" t="s">
        <v>170</v>
      </c>
      <c r="C49">
        <v>2</v>
      </c>
      <c r="D49" t="s">
        <v>120</v>
      </c>
      <c r="E49">
        <v>2</v>
      </c>
      <c r="F49" t="s">
        <v>87</v>
      </c>
      <c r="G49" t="s">
        <v>171</v>
      </c>
      <c r="H49">
        <v>21.35</v>
      </c>
      <c r="I49">
        <v>0</v>
      </c>
      <c r="J49">
        <v>0</v>
      </c>
      <c r="K49">
        <v>0</v>
      </c>
      <c r="L49" t="b">
        <v>1</v>
      </c>
    </row>
    <row r="50" spans="1:12" x14ac:dyDescent="0.25">
      <c r="A50">
        <v>55</v>
      </c>
      <c r="B50" t="s">
        <v>172</v>
      </c>
      <c r="C50">
        <v>25</v>
      </c>
      <c r="D50" t="s">
        <v>161</v>
      </c>
      <c r="E50">
        <v>6</v>
      </c>
      <c r="F50" t="s">
        <v>126</v>
      </c>
      <c r="G50" t="s">
        <v>173</v>
      </c>
      <c r="H50">
        <v>24</v>
      </c>
      <c r="I50">
        <v>115</v>
      </c>
      <c r="J50">
        <v>0</v>
      </c>
      <c r="K50">
        <v>20</v>
      </c>
      <c r="L50" t="b">
        <v>0</v>
      </c>
    </row>
    <row r="51" spans="1:12" x14ac:dyDescent="0.25">
      <c r="A51">
        <v>14</v>
      </c>
      <c r="B51" t="s">
        <v>174</v>
      </c>
      <c r="C51">
        <v>6</v>
      </c>
      <c r="D51" t="s">
        <v>129</v>
      </c>
      <c r="E51">
        <v>7</v>
      </c>
      <c r="F51" t="s">
        <v>62</v>
      </c>
      <c r="G51" t="s">
        <v>175</v>
      </c>
      <c r="H51">
        <v>23.25</v>
      </c>
      <c r="I51">
        <v>35</v>
      </c>
      <c r="J51">
        <v>0</v>
      </c>
      <c r="K51">
        <v>0</v>
      </c>
      <c r="L51" t="b">
        <v>0</v>
      </c>
    </row>
    <row r="52" spans="1:12" x14ac:dyDescent="0.25">
      <c r="A52">
        <v>40</v>
      </c>
      <c r="B52" t="s">
        <v>176</v>
      </c>
      <c r="C52">
        <v>19</v>
      </c>
      <c r="D52" t="s">
        <v>123</v>
      </c>
      <c r="E52">
        <v>8</v>
      </c>
      <c r="F52" t="s">
        <v>71</v>
      </c>
      <c r="G52" t="s">
        <v>177</v>
      </c>
      <c r="H52">
        <v>18.399999999999999</v>
      </c>
      <c r="I52">
        <v>123</v>
      </c>
      <c r="J52">
        <v>0</v>
      </c>
      <c r="K52">
        <v>30</v>
      </c>
      <c r="L52" t="b">
        <v>0</v>
      </c>
    </row>
    <row r="53" spans="1:12" x14ac:dyDescent="0.25">
      <c r="A53">
        <v>1</v>
      </c>
      <c r="B53" t="s">
        <v>178</v>
      </c>
      <c r="C53">
        <v>1</v>
      </c>
      <c r="D53" t="s">
        <v>146</v>
      </c>
      <c r="E53">
        <v>1</v>
      </c>
      <c r="F53" t="s">
        <v>51</v>
      </c>
      <c r="G53" t="s">
        <v>179</v>
      </c>
      <c r="H53">
        <v>18</v>
      </c>
      <c r="I53">
        <v>39</v>
      </c>
      <c r="J53">
        <v>0</v>
      </c>
      <c r="K53">
        <v>10</v>
      </c>
      <c r="L53" t="b">
        <v>0</v>
      </c>
    </row>
    <row r="54" spans="1:12" x14ac:dyDescent="0.25">
      <c r="A54">
        <v>66</v>
      </c>
      <c r="B54" t="s">
        <v>180</v>
      </c>
      <c r="C54">
        <v>2</v>
      </c>
      <c r="D54" t="s">
        <v>120</v>
      </c>
      <c r="E54">
        <v>2</v>
      </c>
      <c r="F54" t="s">
        <v>87</v>
      </c>
      <c r="G54" t="s">
        <v>181</v>
      </c>
      <c r="H54">
        <v>17</v>
      </c>
      <c r="I54">
        <v>4</v>
      </c>
      <c r="J54">
        <v>100</v>
      </c>
      <c r="K54">
        <v>20</v>
      </c>
      <c r="L54" t="b">
        <v>0</v>
      </c>
    </row>
    <row r="55" spans="1:12" x14ac:dyDescent="0.25">
      <c r="A55">
        <v>15</v>
      </c>
      <c r="B55" t="s">
        <v>182</v>
      </c>
      <c r="C55">
        <v>6</v>
      </c>
      <c r="D55" t="s">
        <v>129</v>
      </c>
      <c r="E55">
        <v>2</v>
      </c>
      <c r="F55" t="s">
        <v>87</v>
      </c>
      <c r="G55" t="s">
        <v>183</v>
      </c>
      <c r="H55">
        <v>15.5</v>
      </c>
      <c r="I55">
        <v>39</v>
      </c>
      <c r="J55">
        <v>0</v>
      </c>
      <c r="K55">
        <v>5</v>
      </c>
      <c r="L55" t="b">
        <v>0</v>
      </c>
    </row>
    <row r="56" spans="1:12" x14ac:dyDescent="0.25">
      <c r="A56">
        <v>19</v>
      </c>
      <c r="B56" t="s">
        <v>184</v>
      </c>
      <c r="C56">
        <v>8</v>
      </c>
      <c r="D56" t="s">
        <v>93</v>
      </c>
      <c r="E56">
        <v>3</v>
      </c>
      <c r="F56" t="s">
        <v>47</v>
      </c>
      <c r="G56" t="s">
        <v>185</v>
      </c>
      <c r="H56">
        <v>9.1999999999999993</v>
      </c>
      <c r="I56">
        <v>25</v>
      </c>
      <c r="J56">
        <v>0</v>
      </c>
      <c r="K56">
        <v>5</v>
      </c>
      <c r="L56" t="b">
        <v>0</v>
      </c>
    </row>
    <row r="57" spans="1:12" x14ac:dyDescent="0.25">
      <c r="A57">
        <v>72</v>
      </c>
      <c r="B57" t="s">
        <v>186</v>
      </c>
      <c r="C57">
        <v>14</v>
      </c>
      <c r="D57" t="s">
        <v>187</v>
      </c>
      <c r="E57">
        <v>4</v>
      </c>
      <c r="F57" t="s">
        <v>55</v>
      </c>
      <c r="G57" t="s">
        <v>188</v>
      </c>
      <c r="H57">
        <v>34.799999999999997</v>
      </c>
      <c r="I57">
        <v>14</v>
      </c>
      <c r="J57">
        <v>0</v>
      </c>
      <c r="K57">
        <v>0</v>
      </c>
      <c r="L57" t="b">
        <v>0</v>
      </c>
    </row>
    <row r="58" spans="1:12" x14ac:dyDescent="0.25">
      <c r="A58">
        <v>23</v>
      </c>
      <c r="B58" t="s">
        <v>189</v>
      </c>
      <c r="C58">
        <v>9</v>
      </c>
      <c r="D58" t="s">
        <v>190</v>
      </c>
      <c r="E58">
        <v>5</v>
      </c>
      <c r="F58" t="s">
        <v>75</v>
      </c>
      <c r="G58" t="s">
        <v>191</v>
      </c>
      <c r="H58">
        <v>9</v>
      </c>
      <c r="I58">
        <v>61</v>
      </c>
      <c r="J58">
        <v>0</v>
      </c>
      <c r="K58">
        <v>25</v>
      </c>
      <c r="L58" t="b">
        <v>0</v>
      </c>
    </row>
    <row r="59" spans="1:12" x14ac:dyDescent="0.25">
      <c r="A59">
        <v>22</v>
      </c>
      <c r="B59" t="s">
        <v>192</v>
      </c>
      <c r="C59">
        <v>9</v>
      </c>
      <c r="D59" t="s">
        <v>190</v>
      </c>
      <c r="E59">
        <v>5</v>
      </c>
      <c r="F59" t="s">
        <v>75</v>
      </c>
      <c r="G59" t="s">
        <v>193</v>
      </c>
      <c r="H59">
        <v>21</v>
      </c>
      <c r="I59">
        <v>104</v>
      </c>
      <c r="J59">
        <v>0</v>
      </c>
      <c r="K59">
        <v>25</v>
      </c>
      <c r="L59" t="b">
        <v>0</v>
      </c>
    </row>
    <row r="60" spans="1:12" x14ac:dyDescent="0.25">
      <c r="A60">
        <v>71</v>
      </c>
      <c r="B60" t="s">
        <v>194</v>
      </c>
      <c r="C60">
        <v>15</v>
      </c>
      <c r="D60" t="s">
        <v>90</v>
      </c>
      <c r="E60">
        <v>4</v>
      </c>
      <c r="F60" t="s">
        <v>55</v>
      </c>
      <c r="G60" t="s">
        <v>56</v>
      </c>
      <c r="H60">
        <v>21.5</v>
      </c>
      <c r="I60">
        <v>26</v>
      </c>
      <c r="J60">
        <v>0</v>
      </c>
      <c r="K60">
        <v>0</v>
      </c>
      <c r="L60" t="b">
        <v>0</v>
      </c>
    </row>
    <row r="61" spans="1:12" x14ac:dyDescent="0.25">
      <c r="A61">
        <v>73</v>
      </c>
      <c r="B61" t="s">
        <v>195</v>
      </c>
      <c r="C61">
        <v>17</v>
      </c>
      <c r="D61" t="s">
        <v>113</v>
      </c>
      <c r="E61">
        <v>8</v>
      </c>
      <c r="F61" t="s">
        <v>71</v>
      </c>
      <c r="G61" t="s">
        <v>196</v>
      </c>
      <c r="H61">
        <v>15</v>
      </c>
      <c r="I61">
        <v>101</v>
      </c>
      <c r="J61">
        <v>0</v>
      </c>
      <c r="K61">
        <v>5</v>
      </c>
      <c r="L61" t="b">
        <v>0</v>
      </c>
    </row>
    <row r="62" spans="1:12" x14ac:dyDescent="0.25">
      <c r="A62">
        <v>31</v>
      </c>
      <c r="B62" t="s">
        <v>197</v>
      </c>
      <c r="C62">
        <v>14</v>
      </c>
      <c r="D62" t="s">
        <v>187</v>
      </c>
      <c r="E62">
        <v>4</v>
      </c>
      <c r="F62" t="s">
        <v>55</v>
      </c>
      <c r="G62" t="s">
        <v>198</v>
      </c>
      <c r="H62">
        <v>12.5</v>
      </c>
      <c r="I62">
        <v>0</v>
      </c>
      <c r="J62">
        <v>70</v>
      </c>
      <c r="K62">
        <v>20</v>
      </c>
      <c r="L62" t="b">
        <v>0</v>
      </c>
    </row>
    <row r="63" spans="1:12" x14ac:dyDescent="0.25">
      <c r="A63">
        <v>58</v>
      </c>
      <c r="B63" t="s">
        <v>199</v>
      </c>
      <c r="C63">
        <v>27</v>
      </c>
      <c r="D63" t="s">
        <v>200</v>
      </c>
      <c r="E63">
        <v>8</v>
      </c>
      <c r="F63" t="s">
        <v>71</v>
      </c>
      <c r="G63" t="s">
        <v>201</v>
      </c>
      <c r="H63">
        <v>13.25</v>
      </c>
      <c r="I63">
        <v>62</v>
      </c>
      <c r="J63">
        <v>0</v>
      </c>
      <c r="K63">
        <v>20</v>
      </c>
      <c r="L63" t="b">
        <v>0</v>
      </c>
    </row>
    <row r="64" spans="1:12" x14ac:dyDescent="0.25">
      <c r="A64">
        <v>76</v>
      </c>
      <c r="B64" t="s">
        <v>202</v>
      </c>
      <c r="C64">
        <v>23</v>
      </c>
      <c r="D64" t="s">
        <v>136</v>
      </c>
      <c r="E64">
        <v>1</v>
      </c>
      <c r="F64" t="s">
        <v>51</v>
      </c>
      <c r="G64" t="s">
        <v>203</v>
      </c>
      <c r="H64">
        <v>18</v>
      </c>
      <c r="I64">
        <v>57</v>
      </c>
      <c r="J64">
        <v>0</v>
      </c>
      <c r="K64">
        <v>20</v>
      </c>
      <c r="L64" t="b">
        <v>0</v>
      </c>
    </row>
    <row r="65" spans="1:12" x14ac:dyDescent="0.25">
      <c r="A65">
        <v>32</v>
      </c>
      <c r="B65" t="s">
        <v>204</v>
      </c>
      <c r="C65">
        <v>14</v>
      </c>
      <c r="D65" t="s">
        <v>187</v>
      </c>
      <c r="E65">
        <v>4</v>
      </c>
      <c r="F65" t="s">
        <v>55</v>
      </c>
      <c r="G65" t="s">
        <v>188</v>
      </c>
      <c r="H65">
        <v>32</v>
      </c>
      <c r="I65">
        <v>9</v>
      </c>
      <c r="J65">
        <v>40</v>
      </c>
      <c r="K65">
        <v>25</v>
      </c>
      <c r="L65" t="b">
        <v>0</v>
      </c>
    </row>
    <row r="66" spans="1:12" x14ac:dyDescent="0.25">
      <c r="A66">
        <v>34</v>
      </c>
      <c r="B66" t="s">
        <v>205</v>
      </c>
      <c r="C66">
        <v>16</v>
      </c>
      <c r="D66" t="s">
        <v>58</v>
      </c>
      <c r="E66">
        <v>1</v>
      </c>
      <c r="F66" t="s">
        <v>51</v>
      </c>
      <c r="G66" t="s">
        <v>59</v>
      </c>
      <c r="H66">
        <v>14</v>
      </c>
      <c r="I66">
        <v>111</v>
      </c>
      <c r="J66">
        <v>0</v>
      </c>
      <c r="K66">
        <v>15</v>
      </c>
      <c r="L66" t="b">
        <v>0</v>
      </c>
    </row>
    <row r="67" spans="1:12" x14ac:dyDescent="0.25">
      <c r="A67">
        <v>20</v>
      </c>
      <c r="B67" t="s">
        <v>206</v>
      </c>
      <c r="C67">
        <v>8</v>
      </c>
      <c r="D67" t="s">
        <v>93</v>
      </c>
      <c r="E67">
        <v>3</v>
      </c>
      <c r="F67" t="s">
        <v>47</v>
      </c>
      <c r="G67" t="s">
        <v>207</v>
      </c>
      <c r="H67">
        <v>81</v>
      </c>
      <c r="I67">
        <v>40</v>
      </c>
      <c r="J67">
        <v>0</v>
      </c>
      <c r="K67">
        <v>0</v>
      </c>
      <c r="L67" t="b">
        <v>0</v>
      </c>
    </row>
    <row r="68" spans="1:12" x14ac:dyDescent="0.25">
      <c r="A68">
        <v>61</v>
      </c>
      <c r="B68" t="s">
        <v>208</v>
      </c>
      <c r="C68">
        <v>29</v>
      </c>
      <c r="D68" t="s">
        <v>164</v>
      </c>
      <c r="E68">
        <v>2</v>
      </c>
      <c r="F68" t="s">
        <v>87</v>
      </c>
      <c r="G68" t="s">
        <v>209</v>
      </c>
      <c r="H68">
        <v>28.5</v>
      </c>
      <c r="I68">
        <v>113</v>
      </c>
      <c r="J68">
        <v>0</v>
      </c>
      <c r="K68">
        <v>25</v>
      </c>
      <c r="L68" t="b">
        <v>0</v>
      </c>
    </row>
    <row r="69" spans="1:12" x14ac:dyDescent="0.25">
      <c r="A69">
        <v>43</v>
      </c>
      <c r="B69" t="s">
        <v>210</v>
      </c>
      <c r="C69">
        <v>20</v>
      </c>
      <c r="D69" t="s">
        <v>150</v>
      </c>
      <c r="E69">
        <v>1</v>
      </c>
      <c r="F69" t="s">
        <v>51</v>
      </c>
      <c r="G69" t="s">
        <v>211</v>
      </c>
      <c r="H69">
        <v>46</v>
      </c>
      <c r="I69">
        <v>17</v>
      </c>
      <c r="J69">
        <v>10</v>
      </c>
      <c r="K69">
        <v>25</v>
      </c>
      <c r="L69" t="b">
        <v>0</v>
      </c>
    </row>
    <row r="70" spans="1:12" x14ac:dyDescent="0.25">
      <c r="A70">
        <v>53</v>
      </c>
      <c r="B70" t="s">
        <v>212</v>
      </c>
      <c r="C70">
        <v>24</v>
      </c>
      <c r="D70" t="s">
        <v>143</v>
      </c>
      <c r="E70">
        <v>6</v>
      </c>
      <c r="F70" t="s">
        <v>126</v>
      </c>
      <c r="G70" t="s">
        <v>213</v>
      </c>
      <c r="H70">
        <v>32.799999999999997</v>
      </c>
      <c r="I70">
        <v>0</v>
      </c>
      <c r="J70">
        <v>0</v>
      </c>
      <c r="K70">
        <v>0</v>
      </c>
      <c r="L70" t="b">
        <v>1</v>
      </c>
    </row>
    <row r="71" spans="1:12" x14ac:dyDescent="0.25">
      <c r="A71">
        <v>29</v>
      </c>
      <c r="B71" t="s">
        <v>214</v>
      </c>
      <c r="C71">
        <v>12</v>
      </c>
      <c r="D71" t="s">
        <v>61</v>
      </c>
      <c r="E71">
        <v>6</v>
      </c>
      <c r="F71" t="s">
        <v>126</v>
      </c>
      <c r="G71" t="s">
        <v>215</v>
      </c>
      <c r="H71">
        <v>123.79</v>
      </c>
      <c r="I71">
        <v>0</v>
      </c>
      <c r="J71">
        <v>0</v>
      </c>
      <c r="K71">
        <v>0</v>
      </c>
      <c r="L71" t="b">
        <v>1</v>
      </c>
    </row>
    <row r="72" spans="1:12" x14ac:dyDescent="0.25">
      <c r="A72">
        <v>10</v>
      </c>
      <c r="B72" t="s">
        <v>216</v>
      </c>
      <c r="C72">
        <v>4</v>
      </c>
      <c r="D72" t="s">
        <v>109</v>
      </c>
      <c r="E72">
        <v>8</v>
      </c>
      <c r="F72" t="s">
        <v>71</v>
      </c>
      <c r="G72" t="s">
        <v>217</v>
      </c>
      <c r="H72">
        <v>31</v>
      </c>
      <c r="I72">
        <v>31</v>
      </c>
      <c r="J72">
        <v>0</v>
      </c>
      <c r="K72">
        <v>0</v>
      </c>
      <c r="L72" t="b">
        <v>0</v>
      </c>
    </row>
    <row r="73" spans="1:12" x14ac:dyDescent="0.25">
      <c r="A73">
        <v>9</v>
      </c>
      <c r="B73" t="s">
        <v>218</v>
      </c>
      <c r="C73">
        <v>4</v>
      </c>
      <c r="D73" t="s">
        <v>109</v>
      </c>
      <c r="E73">
        <v>6</v>
      </c>
      <c r="F73" t="s">
        <v>126</v>
      </c>
      <c r="G73" t="s">
        <v>219</v>
      </c>
      <c r="H73">
        <v>97</v>
      </c>
      <c r="I73">
        <v>29</v>
      </c>
      <c r="J73">
        <v>0</v>
      </c>
      <c r="K73">
        <v>0</v>
      </c>
      <c r="L73" t="b">
        <v>1</v>
      </c>
    </row>
    <row r="74" spans="1:12" x14ac:dyDescent="0.25">
      <c r="A74">
        <v>3</v>
      </c>
      <c r="B74" t="s">
        <v>220</v>
      </c>
      <c r="C74">
        <v>1</v>
      </c>
      <c r="D74" t="s">
        <v>146</v>
      </c>
      <c r="E74">
        <v>2</v>
      </c>
      <c r="F74" t="s">
        <v>87</v>
      </c>
      <c r="G74" t="s">
        <v>221</v>
      </c>
      <c r="H74">
        <v>10</v>
      </c>
      <c r="I74">
        <v>13</v>
      </c>
      <c r="J74">
        <v>70</v>
      </c>
      <c r="K74">
        <v>25</v>
      </c>
      <c r="L74" t="b">
        <v>0</v>
      </c>
    </row>
    <row r="75" spans="1:12" x14ac:dyDescent="0.25">
      <c r="A75">
        <v>45</v>
      </c>
      <c r="B75" t="s">
        <v>222</v>
      </c>
      <c r="C75">
        <v>21</v>
      </c>
      <c r="D75" t="s">
        <v>103</v>
      </c>
      <c r="E75">
        <v>8</v>
      </c>
      <c r="F75" t="s">
        <v>71</v>
      </c>
      <c r="G75" t="s">
        <v>223</v>
      </c>
      <c r="H75">
        <v>9.5</v>
      </c>
      <c r="I75">
        <v>5</v>
      </c>
      <c r="J75">
        <v>70</v>
      </c>
      <c r="K75">
        <v>15</v>
      </c>
      <c r="L75" t="b">
        <v>0</v>
      </c>
    </row>
    <row r="76" spans="1:12" x14ac:dyDescent="0.25">
      <c r="A76">
        <v>21</v>
      </c>
      <c r="B76" t="s">
        <v>224</v>
      </c>
      <c r="C76">
        <v>8</v>
      </c>
      <c r="D76" t="s">
        <v>93</v>
      </c>
      <c r="E76">
        <v>3</v>
      </c>
      <c r="F76" t="s">
        <v>47</v>
      </c>
      <c r="G76" t="s">
        <v>225</v>
      </c>
      <c r="H76">
        <v>10</v>
      </c>
      <c r="I76">
        <v>3</v>
      </c>
      <c r="J76">
        <v>40</v>
      </c>
      <c r="K76">
        <v>5</v>
      </c>
      <c r="L76" t="b">
        <v>0</v>
      </c>
    </row>
    <row r="77" spans="1:12" x14ac:dyDescent="0.25">
      <c r="A77">
        <v>48</v>
      </c>
      <c r="B77" t="s">
        <v>226</v>
      </c>
      <c r="C77">
        <v>22</v>
      </c>
      <c r="D77" t="s">
        <v>96</v>
      </c>
      <c r="E77">
        <v>3</v>
      </c>
      <c r="F77" t="s">
        <v>47</v>
      </c>
      <c r="G77" t="s">
        <v>227</v>
      </c>
      <c r="H77">
        <v>12.75</v>
      </c>
      <c r="I77">
        <v>15</v>
      </c>
      <c r="J77">
        <v>70</v>
      </c>
      <c r="K77">
        <v>25</v>
      </c>
      <c r="L77" t="b">
        <v>0</v>
      </c>
    </row>
    <row r="78" spans="1:12" x14ac:dyDescent="0.25">
      <c r="A78">
        <v>56</v>
      </c>
      <c r="B78" t="s">
        <v>228</v>
      </c>
      <c r="C78">
        <v>26</v>
      </c>
      <c r="D78" t="s">
        <v>74</v>
      </c>
      <c r="E78">
        <v>5</v>
      </c>
      <c r="F78" t="s">
        <v>75</v>
      </c>
      <c r="G78" t="s">
        <v>76</v>
      </c>
      <c r="H78">
        <v>38</v>
      </c>
      <c r="I78">
        <v>21</v>
      </c>
      <c r="J78">
        <v>10</v>
      </c>
      <c r="K78">
        <v>30</v>
      </c>
      <c r="L78" t="b">
        <v>0</v>
      </c>
    </row>
    <row r="79" spans="1:12" x14ac:dyDescent="0.25">
      <c r="A79" t="s">
        <v>231</v>
      </c>
      <c r="I79">
        <f>SUBTOTAL(109,Tabla1[Unidades En Existencia])</f>
        <v>3119</v>
      </c>
      <c r="L79">
        <f>SUBTOTAL(103,Tabla1[Suspendido])</f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Ejercicios</vt:lpstr>
      <vt:lpstr>Hoja1</vt:lpstr>
      <vt:lpstr>Hoja3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JABL</dc:creator>
  <cp:lastModifiedBy>sipaba</cp:lastModifiedBy>
  <cp:lastPrinted>2021-04-23T15:04:58Z</cp:lastPrinted>
  <dcterms:created xsi:type="dcterms:W3CDTF">2021-04-23T13:59:34Z</dcterms:created>
  <dcterms:modified xsi:type="dcterms:W3CDTF">2021-10-11T19:12:02Z</dcterms:modified>
</cp:coreProperties>
</file>