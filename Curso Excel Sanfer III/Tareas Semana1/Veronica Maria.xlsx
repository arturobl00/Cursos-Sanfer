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onica.lezama\Documents\Tarea curso Excel\"/>
    </mc:Choice>
  </mc:AlternateContent>
  <bookViews>
    <workbookView xWindow="-120" yWindow="-120" windowWidth="20730" windowHeight="11160"/>
  </bookViews>
  <sheets>
    <sheet name="Ejercicios" sheetId="2" r:id="rId1"/>
    <sheet name="Lista Países" sheetId="4" r:id="rId2"/>
    <sheet name="Hoja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3" i="2" l="1"/>
  <c r="C143" i="2"/>
  <c r="D143" i="2"/>
  <c r="F143" i="2"/>
  <c r="E143" i="2"/>
  <c r="G143" i="2"/>
  <c r="K143" i="2"/>
  <c r="J143" i="2"/>
  <c r="I143" i="2"/>
  <c r="H143" i="2"/>
  <c r="L143" i="2"/>
  <c r="I79" i="3" l="1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<sst xmlns="http://schemas.openxmlformats.org/spreadsheetml/2006/main" count="711" uniqueCount="248">
  <si>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</si>
  <si>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</si>
  <si>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</si>
  <si>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</si>
  <si>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</si>
  <si>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</si>
  <si>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</si>
  <si>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</si>
  <si>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</si>
  <si>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</si>
  <si>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</si>
  <si>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</si>
  <si>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</si>
  <si>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</si>
  <si>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</si>
  <si>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</si>
  <si>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</si>
  <si>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</si>
  <si>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</si>
  <si>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</si>
  <si>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</si>
  <si>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</si>
  <si>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</si>
  <si>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</si>
  <si>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</si>
  <si>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</si>
  <si>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</si>
  <si>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</si>
  <si>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</si>
  <si>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</si>
  <si>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</si>
  <si>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</si>
  <si>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</si>
  <si>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</si>
  <si>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</si>
  <si>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</si>
  <si>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</si>
  <si>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</si>
  <si>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</si>
  <si>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</si>
  <si>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</si>
  <si>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</si>
  <si>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</si>
  <si>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</si>
  <si>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</si>
  <si>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</si>
  <si>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</si>
  <si>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</si>
  <si>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</si>
  <si>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</si>
  <si>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</si>
  <si>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</si>
  <si>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</si>
  <si>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</si>
  <si>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</si>
  <si>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</si>
  <si>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</si>
  <si>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</si>
  <si>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</si>
  <si>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</si>
  <si>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</si>
  <si>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</si>
  <si>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</si>
  <si>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</si>
  <si>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</si>
  <si>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</si>
  <si>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</si>
  <si>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</si>
  <si>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</si>
  <si>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</si>
  <si>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</si>
  <si>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</si>
  <si>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</si>
  <si>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</si>
  <si>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</si>
  <si>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</si>
  <si>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</si>
  <si>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</si>
  <si>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</si>
  <si>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</si>
  <si>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</si>
  <si>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</si>
  <si>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</si>
  <si>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</si>
  <si>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</si>
  <si>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</si>
  <si>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</si>
  <si>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</si>
  <si>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</si>
  <si>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</si>
  <si>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</si>
  <si>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</si>
  <si>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</si>
  <si>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</si>
  <si>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</si>
  <si>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</si>
  <si>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</si>
  <si>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</si>
  <si>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</si>
  <si>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</si>
  <si>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</si>
  <si>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</si>
  <si>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</si>
  <si>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</si>
  <si>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</si>
  <si>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</si>
  <si>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</si>
  <si>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</si>
  <si>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</si>
  <si>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</si>
  <si>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</si>
  <si>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</si>
  <si>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</si>
  <si>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</si>
  <si>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</si>
  <si>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</si>
  <si>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</si>
  <si>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</si>
  <si>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</si>
  <si>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</si>
  <si>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</si>
  <si>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</si>
  <si>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</si>
  <si>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</si>
  <si>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</si>
  <si>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</si>
  <si>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</si>
  <si>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</si>
  <si>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</si>
  <si>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</si>
  <si>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</si>
  <si>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</si>
  <si>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</si>
  <si>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</si>
  <si>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</si>
  <si>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</si>
  <si>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</si>
  <si>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</si>
  <si>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</si>
  <si>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</si>
  <si>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</si>
  <si>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</si>
  <si>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</si>
  <si>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</si>
  <si>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</si>
  <si>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</si>
  <si>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</si>
  <si>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</si>
  <si>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</si>
  <si>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</si>
  <si>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</si>
  <si>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</si>
  <si>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</si>
  <si>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</si>
  <si>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</si>
  <si>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</si>
  <si>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</si>
  <si>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</si>
  <si>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</si>
  <si>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</si>
  <si>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</si>
  <si>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</si>
  <si>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</si>
  <si>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</si>
  <si>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</si>
  <si>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</si>
  <si>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</si>
  <si>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</si>
  <si>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</si>
  <si>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</si>
  <si>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</si>
  <si>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</si>
  <si>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</si>
  <si>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</si>
  <si>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</si>
  <si>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</si>
  <si>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</si>
  <si>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</si>
  <si>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</si>
  <si>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</si>
  <si>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</si>
  <si>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</si>
  <si>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</si>
  <si>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</si>
  <si>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</si>
  <si>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</si>
  <si>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</si>
  <si>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</si>
  <si>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</si>
  <si>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</si>
  <si>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</si>
  <si>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</si>
  <si>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</si>
  <si>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</si>
  <si>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</si>
  <si>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</si>
  <si>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</si>
  <si>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</si>
  <si>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</si>
  <si>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</si>
  <si>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</si>
  <si>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</si>
  <si>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</si>
  <si>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</si>
  <si>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</si>
  <si>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</si>
  <si>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</si>
  <si>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</si>
  <si>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</si>
  <si>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</si>
  <si>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</si>
  <si>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</si>
  <si>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</si>
  <si>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</si>
  <si>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</si>
  <si>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</si>
  <si>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</si>
  <si>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</si>
  <si>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</si>
  <si>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</si>
  <si>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</si>
  <si>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</si>
  <si>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</si>
  <si>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</si>
  <si>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</si>
  <si>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</si>
  <si>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</si>
  <si>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</si>
  <si>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</si>
  <si>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</si>
  <si>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</si>
  <si>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</si>
  <si>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</si>
  <si>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</si>
  <si>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</si>
  <si>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</si>
  <si>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50/3</t>
  </si>
  <si>
    <t>Máquina</t>
  </si>
  <si>
    <t>AA</t>
  </si>
  <si>
    <t>No.</t>
  </si>
  <si>
    <t>Nombre</t>
  </si>
  <si>
    <t>Valores</t>
  </si>
  <si>
    <t>México</t>
  </si>
  <si>
    <t>Inglaterra</t>
  </si>
  <si>
    <t>Francia</t>
  </si>
  <si>
    <t>Italia</t>
  </si>
  <si>
    <t>Canadá</t>
  </si>
  <si>
    <t>LECV711018MPLZSR03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</si>
</sst>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* #,##0.00_-;\-&quot;$&quot;* #,##0.00_-;_-&quot;$&quot;* &quot;-&quot;??_-;_-@_-"/>
    <numFmt numFmtId="164" formatCode="0.0"/>
    <numFmt numFmtId="165" formatCode="[$USD]\ #,##0.00"/>
    <numFmt numFmtId="166" formatCode="_-* #,##0.00\ [$€-C0A]_-;\-* #,##0.00\ [$€-C0A]_-;_-* &quot;-&quot;??\ [$€-C0A]_-;_-@_-"/>
    <numFmt numFmtId="167" formatCode="[$-80A]dddd\ d&quot; de &quot;mmmm&quot; de &quot;yyyy;@"/>
    <numFmt numFmtId="168" formatCode="dd/mm/yy;@"/>
    <numFmt numFmtId="174" formatCode="&quot;2021-TEH&quot;\-000"/>
    <numFmt numFmtId="176" formatCode="&quot;0000-0000-0000&quot;\-0000"/>
  </numFmts>
  <fonts count="7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44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/>
    <xf numFmtId="1" fontId="0" fillId="0" borderId="1" xfId="0" applyNumberFormat="1" applyBorder="1"/>
    <xf numFmtId="49" fontId="0" fillId="0" borderId="1" xfId="0" applyNumberFormat="1" applyBorder="1"/>
    <xf numFmtId="168" fontId="0" fillId="0" borderId="1" xfId="0" applyNumberFormat="1" applyBorder="1"/>
    <xf numFmtId="9" fontId="0" fillId="0" borderId="1" xfId="0" applyNumberFormat="1" applyBorder="1"/>
    <xf numFmtId="2" fontId="0" fillId="0" borderId="1" xfId="0" applyNumberFormat="1" applyBorder="1"/>
    <xf numFmtId="167" fontId="0" fillId="0" borderId="1" xfId="0" applyNumberFormat="1" applyBorder="1"/>
    <xf numFmtId="0" fontId="0" fillId="0" borderId="1" xfId="0" applyBorder="1"/>
    <xf numFmtId="44" fontId="0" fillId="0" borderId="1" xfId="0" applyNumberFormat="1" applyBorder="1"/>
    <xf numFmtId="165" fontId="0" fillId="0" borderId="1" xfId="0" applyNumberFormat="1" applyBorder="1"/>
    <xf numFmtId="16" fontId="0" fillId="0" borderId="1" xfId="0" applyNumberFormat="1" applyBorder="1"/>
    <xf numFmtId="166" fontId="0" fillId="0" borderId="1" xfId="0" applyNumberFormat="1" applyBorder="1"/>
    <xf numFmtId="0" fontId="3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64" fontId="0" fillId="0" borderId="1" xfId="0" applyNumberFormat="1" applyBorder="1"/>
    <xf numFmtId="0" fontId="2" fillId="0" borderId="1" xfId="0" applyFont="1" applyBorder="1"/>
    <xf numFmtId="12" fontId="0" fillId="0" borderId="1" xfId="0" applyNumberFormat="1" applyBorder="1"/>
    <xf numFmtId="174" fontId="0" fillId="0" borderId="1" xfId="0" applyNumberFormat="1" applyBorder="1"/>
    <xf numFmtId="176" fontId="0" fillId="0" borderId="1" xfId="0" applyNumberFormat="1" applyBorder="1"/>
    <xf numFmtId="0" fontId="4" fillId="4" borderId="1" xfId="0" applyFont="1" applyFill="1" applyBorder="1" applyAlignment="1">
      <alignment horizontal="center"/>
    </xf>
    <xf numFmtId="14" fontId="2" fillId="0" borderId="1" xfId="0" applyNumberFormat="1" applyFont="1" applyBorder="1"/>
    <xf numFmtId="44" fontId="0" fillId="0" borderId="0" xfId="0" applyNumberFormat="1"/>
  </cellXfs>
  <cellStyles count="1">
    <cellStyle name="Normal" xfId="0" builtinId="0"/>
  </cellStyles>
  <dxfs count="1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a2" displayName="Tabla2" ref="A65:L143" totalsRowCount="1">
  <autoFilter ref="A65:L142"/>
  <tableColumns count="12">
    <tableColumn id="1" name="Id Producto" totalsRowLabel="Total"/>
    <tableColumn id="2" name="Nombre Producto" totalsRowFunction="count"/>
    <tableColumn id="3" name="Id Proveedor" totalsRowFunction="count"/>
    <tableColumn id="4" name="Nombre de Proveedor" totalsRowFunction="count"/>
    <tableColumn id="5" name="Id Categoría" totalsRowFunction="sum"/>
    <tableColumn id="6" name="Nombre Categoria" totalsRowFunction="count"/>
    <tableColumn id="7" name="Cantidad Por Unidad" totalsRowFunction="count"/>
    <tableColumn id="8" name="Precio Unidad" totalsRowFunction="sum" dataDxfId="13"/>
    <tableColumn id="9" name="Unidades En Existencia" totalsRowFunction="sum"/>
    <tableColumn id="10" name="Unidades En Pedido" totalsRowFunction="sum"/>
    <tableColumn id="11" name="Nivel Nuevo Pedido" totalsRowFunction="sum"/>
    <tableColumn id="12" name="Suspendido" totalsRowFunction="count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3"/>
  <sheetViews>
    <sheetView tabSelected="1" topLeftCell="A56" workbookViewId="0">
      <selection activeCell="C58" sqref="C58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8"/>
      <c r="B2" s="8"/>
      <c r="C2" s="8"/>
      <c r="D2" s="8"/>
      <c r="E2" s="8"/>
      <c r="F2" s="8"/>
      <c r="G2" s="8"/>
    </row>
    <row r="3" spans="1:7" x14ac:dyDescent="0.25">
      <c r="A3" s="8"/>
      <c r="B3" s="8"/>
      <c r="C3" s="8"/>
      <c r="D3" s="8"/>
      <c r="E3" s="8"/>
      <c r="F3" s="8"/>
      <c r="G3" s="8"/>
    </row>
    <row r="4" spans="1:7" x14ac:dyDescent="0.25">
      <c r="A4" s="8"/>
      <c r="B4" s="8"/>
      <c r="C4" s="8"/>
      <c r="D4" s="8"/>
      <c r="E4" s="8"/>
      <c r="F4" s="8"/>
      <c r="G4" s="8"/>
    </row>
    <row r="5" spans="1:7" x14ac:dyDescent="0.25">
      <c r="A5" s="8"/>
      <c r="B5" s="8"/>
      <c r="C5" s="8"/>
      <c r="D5" s="8"/>
      <c r="E5" s="8"/>
      <c r="F5" s="8"/>
      <c r="G5" s="8"/>
    </row>
    <row r="7" spans="1:7" x14ac:dyDescent="0.25">
      <c r="A7" s="9" t="s">
        <v>21</v>
      </c>
      <c r="B7" s="9"/>
      <c r="C7" s="9"/>
      <c r="D7" s="9"/>
      <c r="E7" s="9"/>
      <c r="F7" s="9"/>
      <c r="G7" s="9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0" t="s">
        <v>10</v>
      </c>
      <c r="B9" s="10"/>
      <c r="C9" s="11">
        <v>95.444444439999998</v>
      </c>
      <c r="D9" s="11"/>
    </row>
    <row r="10" spans="1:7" x14ac:dyDescent="0.25">
      <c r="A10" s="10" t="s">
        <v>6</v>
      </c>
      <c r="B10" s="10"/>
      <c r="C10" s="12" t="s">
        <v>236</v>
      </c>
      <c r="D10" s="12"/>
    </row>
    <row r="11" spans="1:7" x14ac:dyDescent="0.25">
      <c r="A11" s="10" t="s">
        <v>10</v>
      </c>
      <c r="B11" s="10"/>
      <c r="C11" s="11">
        <v>100</v>
      </c>
      <c r="D11" s="11"/>
    </row>
    <row r="12" spans="1:7" x14ac:dyDescent="0.25">
      <c r="A12" s="10" t="s">
        <v>7</v>
      </c>
      <c r="B12" s="10"/>
      <c r="C12" s="13">
        <v>44477</v>
      </c>
      <c r="D12" s="13"/>
    </row>
    <row r="13" spans="1:7" x14ac:dyDescent="0.25">
      <c r="A13" s="10" t="s">
        <v>8</v>
      </c>
      <c r="B13" s="10"/>
      <c r="C13" s="14">
        <v>0.5</v>
      </c>
      <c r="D13" s="14"/>
    </row>
    <row r="14" spans="1:7" x14ac:dyDescent="0.25">
      <c r="A14" s="10" t="s">
        <v>9</v>
      </c>
      <c r="B14" s="10"/>
      <c r="C14" s="15">
        <v>345.35555555000002</v>
      </c>
      <c r="D14" s="15"/>
    </row>
    <row r="15" spans="1:7" x14ac:dyDescent="0.25">
      <c r="A15" s="10" t="s">
        <v>10</v>
      </c>
      <c r="B15" s="10"/>
      <c r="C15" s="11">
        <v>826.7</v>
      </c>
      <c r="D15" s="11"/>
    </row>
    <row r="16" spans="1:7" x14ac:dyDescent="0.25">
      <c r="A16" s="10" t="s">
        <v>11</v>
      </c>
      <c r="B16" s="10"/>
      <c r="C16" s="16">
        <v>44322</v>
      </c>
      <c r="D16" s="16"/>
    </row>
    <row r="17" spans="1:9" x14ac:dyDescent="0.25">
      <c r="A17" s="10" t="s">
        <v>12</v>
      </c>
      <c r="B17" s="10"/>
      <c r="C17" s="27">
        <v>2.5</v>
      </c>
      <c r="D17" s="27"/>
    </row>
    <row r="18" spans="1:9" x14ac:dyDescent="0.25">
      <c r="A18" s="10" t="s">
        <v>13</v>
      </c>
      <c r="B18" s="10"/>
      <c r="C18" s="28">
        <v>1</v>
      </c>
      <c r="D18" s="28"/>
      <c r="F18" s="5" t="s">
        <v>18</v>
      </c>
      <c r="G18" s="5" t="s">
        <v>19</v>
      </c>
    </row>
    <row r="19" spans="1:9" x14ac:dyDescent="0.25">
      <c r="A19" s="10" t="s">
        <v>6</v>
      </c>
      <c r="B19" s="10"/>
      <c r="C19" s="17" t="s">
        <v>237</v>
      </c>
      <c r="D19" s="17"/>
    </row>
    <row r="20" spans="1:9" x14ac:dyDescent="0.25">
      <c r="A20" s="10" t="s">
        <v>14</v>
      </c>
      <c r="B20" s="10"/>
      <c r="C20" s="18">
        <v>285426</v>
      </c>
      <c r="D20" s="18"/>
    </row>
    <row r="21" spans="1:9" x14ac:dyDescent="0.25">
      <c r="A21" s="10" t="s">
        <v>15</v>
      </c>
      <c r="B21" s="10"/>
      <c r="C21" s="19">
        <v>75236.89</v>
      </c>
      <c r="D21" s="19"/>
    </row>
    <row r="22" spans="1:9" x14ac:dyDescent="0.25">
      <c r="A22" s="10" t="s">
        <v>6</v>
      </c>
      <c r="B22" s="10"/>
      <c r="C22" s="20" t="s">
        <v>238</v>
      </c>
      <c r="D22" s="17"/>
    </row>
    <row r="23" spans="1:9" x14ac:dyDescent="0.25">
      <c r="A23" s="10" t="s">
        <v>16</v>
      </c>
      <c r="B23" s="10"/>
      <c r="C23" s="25">
        <v>86.7</v>
      </c>
      <c r="D23" s="25"/>
    </row>
    <row r="24" spans="1:9" x14ac:dyDescent="0.25">
      <c r="A24" s="10" t="s">
        <v>12</v>
      </c>
      <c r="B24" s="10"/>
      <c r="C24" s="27">
        <v>0.75</v>
      </c>
      <c r="D24" s="27"/>
    </row>
    <row r="25" spans="1:9" x14ac:dyDescent="0.25">
      <c r="A25" s="10" t="s">
        <v>13</v>
      </c>
      <c r="B25" s="10"/>
      <c r="C25" s="29">
        <v>1</v>
      </c>
      <c r="D25" s="29"/>
      <c r="F25" s="5" t="s">
        <v>18</v>
      </c>
      <c r="G25" s="22" t="s">
        <v>20</v>
      </c>
      <c r="H25" s="22"/>
    </row>
    <row r="26" spans="1:9" x14ac:dyDescent="0.25">
      <c r="A26" s="10" t="s">
        <v>17</v>
      </c>
      <c r="B26" s="10"/>
      <c r="C26" s="21">
        <v>246876.5</v>
      </c>
      <c r="D26" s="21"/>
    </row>
    <row r="29" spans="1:9" x14ac:dyDescent="0.25">
      <c r="A29" s="23" t="s">
        <v>23</v>
      </c>
      <c r="B29" s="24"/>
      <c r="C29" s="24"/>
      <c r="D29" s="24"/>
      <c r="E29" s="24"/>
      <c r="F29" s="24"/>
      <c r="G29" s="24"/>
      <c r="H29" s="24"/>
      <c r="I29" s="24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30" t="s">
        <v>239</v>
      </c>
      <c r="B32" s="30" t="s">
        <v>240</v>
      </c>
      <c r="C32" s="30" t="s">
        <v>241</v>
      </c>
      <c r="D32" s="30" t="s">
        <v>241</v>
      </c>
      <c r="E32" s="30" t="s">
        <v>241</v>
      </c>
    </row>
    <row r="33" spans="1:9" x14ac:dyDescent="0.25">
      <c r="A33" s="4">
        <v>45</v>
      </c>
      <c r="B33" s="4" t="s">
        <v>25</v>
      </c>
      <c r="C33" s="7">
        <v>20</v>
      </c>
      <c r="D33" s="7">
        <v>20</v>
      </c>
      <c r="E33" s="7">
        <v>100</v>
      </c>
    </row>
    <row r="34" spans="1:9" x14ac:dyDescent="0.25">
      <c r="A34" s="4">
        <v>62</v>
      </c>
      <c r="B34" s="4" t="s">
        <v>26</v>
      </c>
      <c r="C34" s="7">
        <v>90</v>
      </c>
      <c r="D34" s="7">
        <v>90</v>
      </c>
      <c r="E34" s="7">
        <v>2030</v>
      </c>
    </row>
    <row r="35" spans="1:9" x14ac:dyDescent="0.25">
      <c r="A35" s="4">
        <v>78</v>
      </c>
      <c r="B35" s="4" t="s">
        <v>27</v>
      </c>
      <c r="C35" s="7">
        <v>90</v>
      </c>
      <c r="D35" s="7">
        <v>90</v>
      </c>
      <c r="E35" s="7">
        <v>20191</v>
      </c>
    </row>
    <row r="36" spans="1:9" x14ac:dyDescent="0.25">
      <c r="A36" s="4">
        <v>7</v>
      </c>
      <c r="B36" s="4" t="s">
        <v>25</v>
      </c>
      <c r="C36" s="7">
        <v>23</v>
      </c>
      <c r="D36" s="7">
        <v>23</v>
      </c>
      <c r="E36" s="7">
        <v>493</v>
      </c>
    </row>
    <row r="37" spans="1:9" x14ac:dyDescent="0.25">
      <c r="A37" s="4">
        <v>31</v>
      </c>
      <c r="B37" s="4" t="s">
        <v>25</v>
      </c>
      <c r="C37" s="7">
        <v>42</v>
      </c>
      <c r="D37" s="7">
        <v>42</v>
      </c>
      <c r="E37" s="7">
        <v>9202</v>
      </c>
    </row>
    <row r="38" spans="1:9" x14ac:dyDescent="0.25">
      <c r="A38" s="4">
        <v>54</v>
      </c>
      <c r="B38" s="4" t="s">
        <v>27</v>
      </c>
      <c r="C38" s="7">
        <v>45</v>
      </c>
      <c r="D38" s="7">
        <v>45</v>
      </c>
      <c r="E38" s="7">
        <v>49392</v>
      </c>
    </row>
    <row r="39" spans="1:9" x14ac:dyDescent="0.25">
      <c r="A39" s="4">
        <v>87</v>
      </c>
      <c r="B39" s="4" t="s">
        <v>27</v>
      </c>
      <c r="C39" s="7">
        <v>64</v>
      </c>
      <c r="D39" s="7">
        <v>64</v>
      </c>
      <c r="E39" s="7">
        <v>93392</v>
      </c>
    </row>
    <row r="40" spans="1:9" x14ac:dyDescent="0.25">
      <c r="A40" s="4">
        <v>27</v>
      </c>
      <c r="B40" s="4" t="s">
        <v>27</v>
      </c>
      <c r="C40" s="7">
        <v>22</v>
      </c>
      <c r="D40" s="7">
        <v>22</v>
      </c>
      <c r="E40" s="7">
        <v>9921</v>
      </c>
    </row>
    <row r="41" spans="1:9" x14ac:dyDescent="0.25">
      <c r="A41" s="4">
        <v>97</v>
      </c>
      <c r="B41" s="4" t="s">
        <v>27</v>
      </c>
      <c r="C41" s="7">
        <v>11</v>
      </c>
      <c r="D41" s="7">
        <v>11</v>
      </c>
      <c r="E41" s="7">
        <v>3929</v>
      </c>
    </row>
    <row r="42" spans="1:9" x14ac:dyDescent="0.25">
      <c r="A42" s="4">
        <v>79</v>
      </c>
      <c r="B42" s="4" t="s">
        <v>26</v>
      </c>
      <c r="C42" s="7">
        <v>55</v>
      </c>
      <c r="D42" s="7">
        <v>55</v>
      </c>
      <c r="E42" s="7">
        <v>49392</v>
      </c>
    </row>
    <row r="43" spans="1:9" x14ac:dyDescent="0.25">
      <c r="A43" s="4">
        <v>96</v>
      </c>
      <c r="B43" s="4" t="s">
        <v>27</v>
      </c>
      <c r="C43" s="7">
        <v>76</v>
      </c>
      <c r="D43" s="7">
        <v>20</v>
      </c>
      <c r="E43" s="7">
        <v>4992</v>
      </c>
    </row>
    <row r="44" spans="1:9" x14ac:dyDescent="0.25">
      <c r="A44" s="4">
        <v>95</v>
      </c>
      <c r="B44" s="4" t="s">
        <v>25</v>
      </c>
      <c r="C44" s="7">
        <v>33</v>
      </c>
      <c r="D44" s="7">
        <v>33</v>
      </c>
      <c r="E44" s="7">
        <v>192</v>
      </c>
    </row>
    <row r="46" spans="1:9" x14ac:dyDescent="0.25">
      <c r="A46" s="23" t="s">
        <v>31</v>
      </c>
      <c r="B46" s="24"/>
      <c r="C46" s="24"/>
      <c r="D46" s="24"/>
      <c r="E46" s="24"/>
      <c r="F46" s="24"/>
      <c r="G46" s="24"/>
      <c r="H46" s="24"/>
      <c r="I46" s="24"/>
    </row>
    <row r="48" spans="1:9" x14ac:dyDescent="0.25">
      <c r="A48" s="26" t="s">
        <v>1</v>
      </c>
      <c r="B48" s="26"/>
      <c r="C48" s="2">
        <v>-5.0999999999999996</v>
      </c>
      <c r="D48" s="1"/>
      <c r="E48" s="1"/>
    </row>
    <row r="49" spans="1:9" x14ac:dyDescent="0.25">
      <c r="A49" s="26" t="s">
        <v>2</v>
      </c>
      <c r="B49" s="26"/>
      <c r="C49" s="2">
        <v>101</v>
      </c>
      <c r="D49" s="1"/>
      <c r="E49" s="1"/>
    </row>
    <row r="50" spans="1:9" x14ac:dyDescent="0.25">
      <c r="A50" s="26" t="s">
        <v>3</v>
      </c>
      <c r="B50" s="26"/>
      <c r="C50" s="31">
        <v>44561</v>
      </c>
      <c r="D50" s="1"/>
      <c r="E50" s="1"/>
    </row>
    <row r="51" spans="1:9" x14ac:dyDescent="0.25">
      <c r="A51" s="26" t="s">
        <v>32</v>
      </c>
      <c r="B51" s="26"/>
      <c r="C51" s="2">
        <v>21</v>
      </c>
      <c r="D51" s="1"/>
      <c r="E51" s="1"/>
    </row>
    <row r="52" spans="1:9" x14ac:dyDescent="0.25">
      <c r="A52" s="26" t="s">
        <v>4</v>
      </c>
      <c r="B52" s="26"/>
      <c r="C52" s="2" t="s">
        <v>247</v>
      </c>
      <c r="D52" s="1"/>
      <c r="E52" s="1"/>
    </row>
    <row r="53" spans="1:9" x14ac:dyDescent="0.25">
      <c r="A53" s="26" t="s">
        <v>5</v>
      </c>
      <c r="B53" s="26"/>
      <c r="C53" s="2"/>
      <c r="D53" s="1"/>
      <c r="E53" s="1"/>
    </row>
    <row r="56" spans="1:9" x14ac:dyDescent="0.25">
      <c r="A56" s="23" t="s">
        <v>229</v>
      </c>
      <c r="B56" s="24"/>
      <c r="C56" s="24"/>
      <c r="D56" s="24"/>
      <c r="E56" s="24"/>
      <c r="F56" s="24"/>
      <c r="G56" s="24"/>
      <c r="H56" s="24"/>
      <c r="I56" s="24"/>
    </row>
    <row r="58" spans="1:9" x14ac:dyDescent="0.25">
      <c r="A58" s="17" t="s">
        <v>230</v>
      </c>
      <c r="B58" s="17"/>
      <c r="C58" s="4">
        <v>10</v>
      </c>
    </row>
    <row r="59" spans="1:9" x14ac:dyDescent="0.25">
      <c r="A59" s="17" t="s">
        <v>232</v>
      </c>
      <c r="B59" s="17"/>
      <c r="C59" s="4">
        <v>12</v>
      </c>
    </row>
    <row r="60" spans="1:9" x14ac:dyDescent="0.25">
      <c r="A60" s="17" t="s">
        <v>233</v>
      </c>
      <c r="B60" s="17"/>
      <c r="C60" s="4">
        <v>8</v>
      </c>
    </row>
    <row r="61" spans="1:9" x14ac:dyDescent="0.25">
      <c r="A61" s="17" t="s">
        <v>234</v>
      </c>
      <c r="B61" s="17"/>
      <c r="C61" s="4">
        <v>5</v>
      </c>
    </row>
    <row r="62" spans="1:9" x14ac:dyDescent="0.25">
      <c r="A62" s="17" t="s">
        <v>235</v>
      </c>
      <c r="B62" s="17"/>
      <c r="C62" s="4">
        <v>692</v>
      </c>
    </row>
    <row r="65" spans="1:12" x14ac:dyDescent="0.25">
      <c r="A65" t="s">
        <v>33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39</v>
      </c>
      <c r="H65" t="s">
        <v>40</v>
      </c>
      <c r="I65" t="s">
        <v>41</v>
      </c>
      <c r="J65" t="s">
        <v>42</v>
      </c>
      <c r="K65" t="s">
        <v>43</v>
      </c>
      <c r="L65" t="s">
        <v>44</v>
      </c>
    </row>
    <row r="66" spans="1:12" x14ac:dyDescent="0.25">
      <c r="A66">
        <v>16</v>
      </c>
      <c r="B66" t="s">
        <v>45</v>
      </c>
      <c r="C66">
        <v>7</v>
      </c>
      <c r="D66" t="s">
        <v>46</v>
      </c>
      <c r="E66">
        <v>3</v>
      </c>
      <c r="F66" t="s">
        <v>47</v>
      </c>
      <c r="G66" t="s">
        <v>48</v>
      </c>
      <c r="H66" s="32">
        <v>17.45</v>
      </c>
      <c r="I66">
        <v>29</v>
      </c>
      <c r="J66">
        <v>0</v>
      </c>
      <c r="K66">
        <v>10</v>
      </c>
      <c r="L66" t="b">
        <v>0</v>
      </c>
    </row>
    <row r="67" spans="1:12" x14ac:dyDescent="0.25">
      <c r="A67">
        <v>39</v>
      </c>
      <c r="B67" t="s">
        <v>49</v>
      </c>
      <c r="C67">
        <v>18</v>
      </c>
      <c r="D67" t="s">
        <v>50</v>
      </c>
      <c r="E67">
        <v>1</v>
      </c>
      <c r="F67" t="s">
        <v>51</v>
      </c>
      <c r="G67" t="s">
        <v>52</v>
      </c>
      <c r="H67" s="32">
        <v>18</v>
      </c>
      <c r="I67">
        <v>69</v>
      </c>
      <c r="J67">
        <v>0</v>
      </c>
      <c r="K67">
        <v>5</v>
      </c>
      <c r="L67" t="b">
        <v>0</v>
      </c>
    </row>
    <row r="68" spans="1:12" x14ac:dyDescent="0.25">
      <c r="A68">
        <v>12</v>
      </c>
      <c r="B68" t="s">
        <v>53</v>
      </c>
      <c r="C68">
        <v>5</v>
      </c>
      <c r="D68" t="s">
        <v>54</v>
      </c>
      <c r="E68">
        <v>4</v>
      </c>
      <c r="F68" t="s">
        <v>55</v>
      </c>
      <c r="G68" t="s">
        <v>56</v>
      </c>
      <c r="H68" s="32">
        <v>38</v>
      </c>
      <c r="I68">
        <v>86</v>
      </c>
      <c r="J68">
        <v>0</v>
      </c>
      <c r="K68">
        <v>0</v>
      </c>
      <c r="L68" t="b">
        <v>0</v>
      </c>
    </row>
    <row r="69" spans="1:12" x14ac:dyDescent="0.25">
      <c r="A69">
        <v>67</v>
      </c>
      <c r="B69" t="s">
        <v>57</v>
      </c>
      <c r="C69">
        <v>16</v>
      </c>
      <c r="D69" t="s">
        <v>58</v>
      </c>
      <c r="E69">
        <v>1</v>
      </c>
      <c r="F69" t="s">
        <v>51</v>
      </c>
      <c r="G69" t="s">
        <v>59</v>
      </c>
      <c r="H69" s="32">
        <v>14</v>
      </c>
      <c r="I69">
        <v>52</v>
      </c>
      <c r="J69">
        <v>0</v>
      </c>
      <c r="K69">
        <v>10</v>
      </c>
      <c r="L69" t="b">
        <v>0</v>
      </c>
    </row>
    <row r="70" spans="1:12" x14ac:dyDescent="0.25">
      <c r="A70">
        <v>28</v>
      </c>
      <c r="B70" t="s">
        <v>60</v>
      </c>
      <c r="C70">
        <v>12</v>
      </c>
      <c r="D70" t="s">
        <v>61</v>
      </c>
      <c r="E70">
        <v>7</v>
      </c>
      <c r="F70" t="s">
        <v>62</v>
      </c>
      <c r="G70" t="s">
        <v>63</v>
      </c>
      <c r="H70" s="32">
        <v>45.6</v>
      </c>
      <c r="I70">
        <v>26</v>
      </c>
      <c r="J70">
        <v>0</v>
      </c>
      <c r="K70">
        <v>0</v>
      </c>
      <c r="L70" t="b">
        <v>1</v>
      </c>
    </row>
    <row r="71" spans="1:12" x14ac:dyDescent="0.25">
      <c r="A71">
        <v>24</v>
      </c>
      <c r="B71" t="s">
        <v>64</v>
      </c>
      <c r="C71">
        <v>10</v>
      </c>
      <c r="D71" t="s">
        <v>65</v>
      </c>
      <c r="E71">
        <v>1</v>
      </c>
      <c r="F71" t="s">
        <v>51</v>
      </c>
      <c r="G71" t="s">
        <v>66</v>
      </c>
      <c r="H71" s="32">
        <v>4.5</v>
      </c>
      <c r="I71">
        <v>20</v>
      </c>
      <c r="J71">
        <v>0</v>
      </c>
      <c r="K71">
        <v>0</v>
      </c>
      <c r="L71" t="b">
        <v>1</v>
      </c>
    </row>
    <row r="72" spans="1:12" x14ac:dyDescent="0.25">
      <c r="A72">
        <v>59</v>
      </c>
      <c r="B72" t="s">
        <v>67</v>
      </c>
      <c r="C72">
        <v>28</v>
      </c>
      <c r="D72" t="s">
        <v>68</v>
      </c>
      <c r="E72">
        <v>4</v>
      </c>
      <c r="F72" t="s">
        <v>55</v>
      </c>
      <c r="G72" t="s">
        <v>69</v>
      </c>
      <c r="H72" s="32">
        <v>55</v>
      </c>
      <c r="I72">
        <v>79</v>
      </c>
      <c r="J72">
        <v>0</v>
      </c>
      <c r="K72">
        <v>0</v>
      </c>
      <c r="L72" t="b">
        <v>0</v>
      </c>
    </row>
    <row r="73" spans="1:12" x14ac:dyDescent="0.25">
      <c r="A73">
        <v>18</v>
      </c>
      <c r="B73" t="s">
        <v>70</v>
      </c>
      <c r="C73">
        <v>7</v>
      </c>
      <c r="D73" t="s">
        <v>46</v>
      </c>
      <c r="E73">
        <v>8</v>
      </c>
      <c r="F73" t="s">
        <v>71</v>
      </c>
      <c r="G73" t="s">
        <v>72</v>
      </c>
      <c r="H73" s="32">
        <v>62.5</v>
      </c>
      <c r="I73">
        <v>42</v>
      </c>
      <c r="J73">
        <v>0</v>
      </c>
      <c r="K73">
        <v>0</v>
      </c>
      <c r="L73" t="b">
        <v>0</v>
      </c>
    </row>
    <row r="74" spans="1:12" x14ac:dyDescent="0.25">
      <c r="A74">
        <v>57</v>
      </c>
      <c r="B74" t="s">
        <v>73</v>
      </c>
      <c r="C74">
        <v>26</v>
      </c>
      <c r="D74" t="s">
        <v>74</v>
      </c>
      <c r="E74">
        <v>5</v>
      </c>
      <c r="F74" t="s">
        <v>75</v>
      </c>
      <c r="G74" t="s">
        <v>76</v>
      </c>
      <c r="H74" s="32">
        <v>19.5</v>
      </c>
      <c r="I74">
        <v>36</v>
      </c>
      <c r="J74">
        <v>0</v>
      </c>
      <c r="K74">
        <v>20</v>
      </c>
      <c r="L74" t="b">
        <v>0</v>
      </c>
    </row>
    <row r="75" spans="1:12" x14ac:dyDescent="0.25">
      <c r="A75">
        <v>30</v>
      </c>
      <c r="B75" t="s">
        <v>77</v>
      </c>
      <c r="C75">
        <v>13</v>
      </c>
      <c r="D75" t="s">
        <v>78</v>
      </c>
      <c r="E75">
        <v>8</v>
      </c>
      <c r="F75" t="s">
        <v>71</v>
      </c>
      <c r="G75" t="s">
        <v>79</v>
      </c>
      <c r="H75" s="32">
        <v>25.89</v>
      </c>
      <c r="I75">
        <v>10</v>
      </c>
      <c r="J75">
        <v>0</v>
      </c>
      <c r="K75">
        <v>15</v>
      </c>
      <c r="L75" t="b">
        <v>0</v>
      </c>
    </row>
    <row r="76" spans="1:12" x14ac:dyDescent="0.25">
      <c r="A76">
        <v>26</v>
      </c>
      <c r="B76" t="s">
        <v>80</v>
      </c>
      <c r="C76">
        <v>11</v>
      </c>
      <c r="D76" t="s">
        <v>81</v>
      </c>
      <c r="E76">
        <v>3</v>
      </c>
      <c r="F76" t="s">
        <v>47</v>
      </c>
      <c r="G76" t="s">
        <v>82</v>
      </c>
      <c r="H76" s="32">
        <v>31.23</v>
      </c>
      <c r="I76">
        <v>15</v>
      </c>
      <c r="J76">
        <v>0</v>
      </c>
      <c r="K76">
        <v>0</v>
      </c>
      <c r="L76" t="b">
        <v>0</v>
      </c>
    </row>
    <row r="77" spans="1:12" x14ac:dyDescent="0.25">
      <c r="A77">
        <v>25</v>
      </c>
      <c r="B77" t="s">
        <v>83</v>
      </c>
      <c r="C77">
        <v>11</v>
      </c>
      <c r="D77" t="s">
        <v>81</v>
      </c>
      <c r="E77">
        <v>3</v>
      </c>
      <c r="F77" t="s">
        <v>47</v>
      </c>
      <c r="G77" t="s">
        <v>84</v>
      </c>
      <c r="H77" s="32">
        <v>14</v>
      </c>
      <c r="I77">
        <v>76</v>
      </c>
      <c r="J77">
        <v>0</v>
      </c>
      <c r="K77">
        <v>30</v>
      </c>
      <c r="L77" t="b">
        <v>0</v>
      </c>
    </row>
    <row r="78" spans="1:12" x14ac:dyDescent="0.25">
      <c r="A78">
        <v>6</v>
      </c>
      <c r="B78" t="s">
        <v>85</v>
      </c>
      <c r="C78">
        <v>3</v>
      </c>
      <c r="D78" t="s">
        <v>86</v>
      </c>
      <c r="E78">
        <v>2</v>
      </c>
      <c r="F78" t="s">
        <v>87</v>
      </c>
      <c r="G78" t="s">
        <v>88</v>
      </c>
      <c r="H78" s="32">
        <v>25</v>
      </c>
      <c r="I78">
        <v>120</v>
      </c>
      <c r="J78">
        <v>0</v>
      </c>
      <c r="K78">
        <v>25</v>
      </c>
      <c r="L78" t="b">
        <v>0</v>
      </c>
    </row>
    <row r="79" spans="1:12" x14ac:dyDescent="0.25">
      <c r="A79">
        <v>33</v>
      </c>
      <c r="B79" t="s">
        <v>89</v>
      </c>
      <c r="C79">
        <v>15</v>
      </c>
      <c r="D79" t="s">
        <v>90</v>
      </c>
      <c r="E79">
        <v>4</v>
      </c>
      <c r="F79" t="s">
        <v>55</v>
      </c>
      <c r="G79" t="s">
        <v>91</v>
      </c>
      <c r="H79" s="32">
        <v>2.5</v>
      </c>
      <c r="I79">
        <v>112</v>
      </c>
      <c r="J79">
        <v>0</v>
      </c>
      <c r="K79">
        <v>20</v>
      </c>
      <c r="L79" t="b">
        <v>0</v>
      </c>
    </row>
    <row r="80" spans="1:12" x14ac:dyDescent="0.25">
      <c r="A80">
        <v>68</v>
      </c>
      <c r="B80" t="s">
        <v>92</v>
      </c>
      <c r="C80">
        <v>8</v>
      </c>
      <c r="D80" t="s">
        <v>93</v>
      </c>
      <c r="E80">
        <v>3</v>
      </c>
      <c r="F80" t="s">
        <v>47</v>
      </c>
      <c r="G80" t="s">
        <v>94</v>
      </c>
      <c r="H80" s="32">
        <v>12.5</v>
      </c>
      <c r="I80">
        <v>6</v>
      </c>
      <c r="J80">
        <v>10</v>
      </c>
      <c r="K80">
        <v>15</v>
      </c>
      <c r="L80" t="b">
        <v>0</v>
      </c>
    </row>
    <row r="81" spans="1:12" x14ac:dyDescent="0.25">
      <c r="A81">
        <v>47</v>
      </c>
      <c r="B81" t="s">
        <v>95</v>
      </c>
      <c r="C81">
        <v>22</v>
      </c>
      <c r="D81" t="s">
        <v>96</v>
      </c>
      <c r="E81">
        <v>3</v>
      </c>
      <c r="F81" t="s">
        <v>47</v>
      </c>
      <c r="G81" t="s">
        <v>97</v>
      </c>
      <c r="H81" s="32">
        <v>9.5</v>
      </c>
      <c r="I81">
        <v>36</v>
      </c>
      <c r="J81">
        <v>0</v>
      </c>
      <c r="K81">
        <v>0</v>
      </c>
      <c r="L81" t="b">
        <v>0</v>
      </c>
    </row>
    <row r="82" spans="1:12" x14ac:dyDescent="0.25">
      <c r="A82">
        <v>27</v>
      </c>
      <c r="B82" t="s">
        <v>98</v>
      </c>
      <c r="C82">
        <v>11</v>
      </c>
      <c r="D82" t="s">
        <v>81</v>
      </c>
      <c r="E82">
        <v>3</v>
      </c>
      <c r="F82" t="s">
        <v>47</v>
      </c>
      <c r="G82" t="s">
        <v>99</v>
      </c>
      <c r="H82" s="32">
        <v>43.9</v>
      </c>
      <c r="I82">
        <v>49</v>
      </c>
      <c r="J82">
        <v>0</v>
      </c>
      <c r="K82">
        <v>30</v>
      </c>
      <c r="L82" t="b">
        <v>0</v>
      </c>
    </row>
    <row r="83" spans="1:12" x14ac:dyDescent="0.25">
      <c r="A83">
        <v>77</v>
      </c>
      <c r="B83" t="s">
        <v>100</v>
      </c>
      <c r="C83">
        <v>12</v>
      </c>
      <c r="D83" t="s">
        <v>61</v>
      </c>
      <c r="E83">
        <v>2</v>
      </c>
      <c r="F83" t="s">
        <v>87</v>
      </c>
      <c r="G83" t="s">
        <v>101</v>
      </c>
      <c r="H83" s="32">
        <v>13</v>
      </c>
      <c r="I83">
        <v>32</v>
      </c>
      <c r="J83">
        <v>0</v>
      </c>
      <c r="K83">
        <v>15</v>
      </c>
      <c r="L83" t="b">
        <v>0</v>
      </c>
    </row>
    <row r="84" spans="1:12" x14ac:dyDescent="0.25">
      <c r="A84">
        <v>46</v>
      </c>
      <c r="B84" t="s">
        <v>102</v>
      </c>
      <c r="C84">
        <v>21</v>
      </c>
      <c r="D84" t="s">
        <v>103</v>
      </c>
      <c r="E84">
        <v>8</v>
      </c>
      <c r="F84" t="s">
        <v>71</v>
      </c>
      <c r="G84" t="s">
        <v>104</v>
      </c>
      <c r="H84" s="32">
        <v>12</v>
      </c>
      <c r="I84">
        <v>95</v>
      </c>
      <c r="J84">
        <v>0</v>
      </c>
      <c r="K84">
        <v>0</v>
      </c>
      <c r="L84" t="b">
        <v>0</v>
      </c>
    </row>
    <row r="85" spans="1:12" x14ac:dyDescent="0.25">
      <c r="A85">
        <v>8</v>
      </c>
      <c r="B85" t="s">
        <v>105</v>
      </c>
      <c r="C85">
        <v>3</v>
      </c>
      <c r="D85" t="s">
        <v>86</v>
      </c>
      <c r="E85">
        <v>2</v>
      </c>
      <c r="F85" t="s">
        <v>87</v>
      </c>
      <c r="G85" t="s">
        <v>106</v>
      </c>
      <c r="H85" s="32">
        <v>40</v>
      </c>
      <c r="I85">
        <v>6</v>
      </c>
      <c r="J85">
        <v>0</v>
      </c>
      <c r="K85">
        <v>0</v>
      </c>
      <c r="L85" t="b">
        <v>0</v>
      </c>
    </row>
    <row r="86" spans="1:12" x14ac:dyDescent="0.25">
      <c r="A86">
        <v>35</v>
      </c>
      <c r="B86" t="s">
        <v>107</v>
      </c>
      <c r="C86">
        <v>16</v>
      </c>
      <c r="D86" t="s">
        <v>58</v>
      </c>
      <c r="E86">
        <v>1</v>
      </c>
      <c r="F86" t="s">
        <v>51</v>
      </c>
      <c r="G86" t="s">
        <v>59</v>
      </c>
      <c r="H86" s="32">
        <v>18</v>
      </c>
      <c r="I86">
        <v>20</v>
      </c>
      <c r="J86">
        <v>0</v>
      </c>
      <c r="K86">
        <v>15</v>
      </c>
      <c r="L86" t="b">
        <v>0</v>
      </c>
    </row>
    <row r="87" spans="1:12" x14ac:dyDescent="0.25">
      <c r="A87">
        <v>74</v>
      </c>
      <c r="B87" t="s">
        <v>108</v>
      </c>
      <c r="C87">
        <v>4</v>
      </c>
      <c r="D87" t="s">
        <v>109</v>
      </c>
      <c r="E87">
        <v>7</v>
      </c>
      <c r="F87" t="s">
        <v>62</v>
      </c>
      <c r="G87" t="s">
        <v>69</v>
      </c>
      <c r="H87" s="32">
        <v>10</v>
      </c>
      <c r="I87">
        <v>4</v>
      </c>
      <c r="J87">
        <v>20</v>
      </c>
      <c r="K87">
        <v>5</v>
      </c>
      <c r="L87" t="b">
        <v>0</v>
      </c>
    </row>
    <row r="88" spans="1:12" x14ac:dyDescent="0.25">
      <c r="A88">
        <v>11</v>
      </c>
      <c r="B88" t="s">
        <v>110</v>
      </c>
      <c r="C88">
        <v>5</v>
      </c>
      <c r="D88" t="s">
        <v>54</v>
      </c>
      <c r="E88">
        <v>4</v>
      </c>
      <c r="F88" t="s">
        <v>55</v>
      </c>
      <c r="G88" t="s">
        <v>111</v>
      </c>
      <c r="H88" s="32">
        <v>21</v>
      </c>
      <c r="I88">
        <v>22</v>
      </c>
      <c r="J88">
        <v>30</v>
      </c>
      <c r="K88">
        <v>30</v>
      </c>
      <c r="L88" t="b">
        <v>0</v>
      </c>
    </row>
    <row r="89" spans="1:12" x14ac:dyDescent="0.25">
      <c r="A89">
        <v>36</v>
      </c>
      <c r="B89" t="s">
        <v>112</v>
      </c>
      <c r="C89">
        <v>17</v>
      </c>
      <c r="D89" t="s">
        <v>113</v>
      </c>
      <c r="E89">
        <v>8</v>
      </c>
      <c r="F89" t="s">
        <v>71</v>
      </c>
      <c r="G89" t="s">
        <v>114</v>
      </c>
      <c r="H89" s="32">
        <v>19</v>
      </c>
      <c r="I89">
        <v>112</v>
      </c>
      <c r="J89">
        <v>0</v>
      </c>
      <c r="K89">
        <v>20</v>
      </c>
      <c r="L89" t="b">
        <v>0</v>
      </c>
    </row>
    <row r="90" spans="1:12" x14ac:dyDescent="0.25">
      <c r="A90">
        <v>7</v>
      </c>
      <c r="B90" t="s">
        <v>115</v>
      </c>
      <c r="C90">
        <v>3</v>
      </c>
      <c r="D90" t="s">
        <v>86</v>
      </c>
      <c r="E90">
        <v>7</v>
      </c>
      <c r="F90" t="s">
        <v>62</v>
      </c>
      <c r="G90" t="s">
        <v>116</v>
      </c>
      <c r="H90" s="32">
        <v>30</v>
      </c>
      <c r="I90">
        <v>15</v>
      </c>
      <c r="J90">
        <v>0</v>
      </c>
      <c r="K90">
        <v>10</v>
      </c>
      <c r="L90" t="b">
        <v>0</v>
      </c>
    </row>
    <row r="91" spans="1:12" x14ac:dyDescent="0.25">
      <c r="A91">
        <v>38</v>
      </c>
      <c r="B91" t="s">
        <v>117</v>
      </c>
      <c r="C91">
        <v>18</v>
      </c>
      <c r="D91" t="s">
        <v>50</v>
      </c>
      <c r="E91">
        <v>1</v>
      </c>
      <c r="F91" t="s">
        <v>51</v>
      </c>
      <c r="G91" t="s">
        <v>118</v>
      </c>
      <c r="H91" s="32">
        <v>263.5</v>
      </c>
      <c r="I91">
        <v>17</v>
      </c>
      <c r="J91">
        <v>0</v>
      </c>
      <c r="K91">
        <v>15</v>
      </c>
      <c r="L91" t="b">
        <v>0</v>
      </c>
    </row>
    <row r="92" spans="1:12" x14ac:dyDescent="0.25">
      <c r="A92">
        <v>4</v>
      </c>
      <c r="B92" t="s">
        <v>119</v>
      </c>
      <c r="C92">
        <v>2</v>
      </c>
      <c r="D92" t="s">
        <v>120</v>
      </c>
      <c r="E92">
        <v>2</v>
      </c>
      <c r="F92" t="s">
        <v>87</v>
      </c>
      <c r="G92" t="s">
        <v>121</v>
      </c>
      <c r="H92" s="32">
        <v>22</v>
      </c>
      <c r="I92">
        <v>53</v>
      </c>
      <c r="J92">
        <v>0</v>
      </c>
      <c r="K92">
        <v>0</v>
      </c>
      <c r="L92" t="b">
        <v>0</v>
      </c>
    </row>
    <row r="93" spans="1:12" x14ac:dyDescent="0.25">
      <c r="A93">
        <v>41</v>
      </c>
      <c r="B93" t="s">
        <v>122</v>
      </c>
      <c r="C93">
        <v>19</v>
      </c>
      <c r="D93" t="s">
        <v>123</v>
      </c>
      <c r="E93">
        <v>8</v>
      </c>
      <c r="F93" t="s">
        <v>71</v>
      </c>
      <c r="G93" t="s">
        <v>124</v>
      </c>
      <c r="H93" s="32">
        <v>9.65</v>
      </c>
      <c r="I93">
        <v>85</v>
      </c>
      <c r="J93">
        <v>0</v>
      </c>
      <c r="K93">
        <v>10</v>
      </c>
      <c r="L93" t="b">
        <v>0</v>
      </c>
    </row>
    <row r="94" spans="1:12" x14ac:dyDescent="0.25">
      <c r="A94">
        <v>17</v>
      </c>
      <c r="B94" t="s">
        <v>125</v>
      </c>
      <c r="C94">
        <v>7</v>
      </c>
      <c r="D94" t="s">
        <v>46</v>
      </c>
      <c r="E94">
        <v>6</v>
      </c>
      <c r="F94" t="s">
        <v>126</v>
      </c>
      <c r="G94" t="s">
        <v>127</v>
      </c>
      <c r="H94" s="32">
        <v>39</v>
      </c>
      <c r="I94">
        <v>0</v>
      </c>
      <c r="J94">
        <v>0</v>
      </c>
      <c r="K94">
        <v>0</v>
      </c>
      <c r="L94" t="b">
        <v>1</v>
      </c>
    </row>
    <row r="95" spans="1:12" x14ac:dyDescent="0.25">
      <c r="A95">
        <v>13</v>
      </c>
      <c r="B95" t="s">
        <v>128</v>
      </c>
      <c r="C95">
        <v>6</v>
      </c>
      <c r="D95" t="s">
        <v>129</v>
      </c>
      <c r="E95">
        <v>8</v>
      </c>
      <c r="F95" t="s">
        <v>71</v>
      </c>
      <c r="G95" t="s">
        <v>130</v>
      </c>
      <c r="H95" s="32">
        <v>6</v>
      </c>
      <c r="I95">
        <v>24</v>
      </c>
      <c r="J95">
        <v>0</v>
      </c>
      <c r="K95">
        <v>5</v>
      </c>
      <c r="L95" t="b">
        <v>0</v>
      </c>
    </row>
    <row r="96" spans="1:12" x14ac:dyDescent="0.25">
      <c r="A96">
        <v>64</v>
      </c>
      <c r="B96" t="s">
        <v>131</v>
      </c>
      <c r="C96">
        <v>12</v>
      </c>
      <c r="D96" t="s">
        <v>61</v>
      </c>
      <c r="E96">
        <v>5</v>
      </c>
      <c r="F96" t="s">
        <v>75</v>
      </c>
      <c r="G96" t="s">
        <v>132</v>
      </c>
      <c r="H96" s="32">
        <v>33.25</v>
      </c>
      <c r="I96">
        <v>22</v>
      </c>
      <c r="J96">
        <v>80</v>
      </c>
      <c r="K96">
        <v>30</v>
      </c>
      <c r="L96" t="b">
        <v>0</v>
      </c>
    </row>
    <row r="97" spans="1:12" x14ac:dyDescent="0.25">
      <c r="A97">
        <v>65</v>
      </c>
      <c r="B97" t="s">
        <v>133</v>
      </c>
      <c r="C97">
        <v>2</v>
      </c>
      <c r="D97" t="s">
        <v>120</v>
      </c>
      <c r="E97">
        <v>2</v>
      </c>
      <c r="F97" t="s">
        <v>87</v>
      </c>
      <c r="G97" t="s">
        <v>134</v>
      </c>
      <c r="H97" s="32">
        <v>21.05</v>
      </c>
      <c r="I97">
        <v>76</v>
      </c>
      <c r="J97">
        <v>0</v>
      </c>
      <c r="K97">
        <v>0</v>
      </c>
      <c r="L97" t="b">
        <v>0</v>
      </c>
    </row>
    <row r="98" spans="1:12" x14ac:dyDescent="0.25">
      <c r="A98">
        <v>50</v>
      </c>
      <c r="B98" t="s">
        <v>135</v>
      </c>
      <c r="C98">
        <v>23</v>
      </c>
      <c r="D98" t="s">
        <v>136</v>
      </c>
      <c r="E98">
        <v>3</v>
      </c>
      <c r="F98" t="s">
        <v>47</v>
      </c>
      <c r="G98" t="s">
        <v>137</v>
      </c>
      <c r="H98" s="32">
        <v>16.25</v>
      </c>
      <c r="I98">
        <v>65</v>
      </c>
      <c r="J98">
        <v>0</v>
      </c>
      <c r="K98">
        <v>30</v>
      </c>
      <c r="L98" t="b">
        <v>0</v>
      </c>
    </row>
    <row r="99" spans="1:12" x14ac:dyDescent="0.25">
      <c r="A99">
        <v>63</v>
      </c>
      <c r="B99" t="s">
        <v>138</v>
      </c>
      <c r="C99">
        <v>7</v>
      </c>
      <c r="D99" t="s">
        <v>46</v>
      </c>
      <c r="E99">
        <v>2</v>
      </c>
      <c r="F99" t="s">
        <v>87</v>
      </c>
      <c r="G99" t="s">
        <v>139</v>
      </c>
      <c r="H99" s="32">
        <v>43.9</v>
      </c>
      <c r="I99">
        <v>24</v>
      </c>
      <c r="J99">
        <v>0</v>
      </c>
      <c r="K99">
        <v>5</v>
      </c>
      <c r="L99" t="b">
        <v>0</v>
      </c>
    </row>
    <row r="100" spans="1:12" x14ac:dyDescent="0.25">
      <c r="A100">
        <v>75</v>
      </c>
      <c r="B100" t="s">
        <v>140</v>
      </c>
      <c r="C100">
        <v>12</v>
      </c>
      <c r="D100" t="s">
        <v>61</v>
      </c>
      <c r="E100">
        <v>1</v>
      </c>
      <c r="F100" t="s">
        <v>51</v>
      </c>
      <c r="G100" t="s">
        <v>141</v>
      </c>
      <c r="H100" s="32">
        <v>7.75</v>
      </c>
      <c r="I100">
        <v>125</v>
      </c>
      <c r="J100">
        <v>0</v>
      </c>
      <c r="K100">
        <v>25</v>
      </c>
      <c r="L100" t="b">
        <v>0</v>
      </c>
    </row>
    <row r="101" spans="1:12" x14ac:dyDescent="0.25">
      <c r="A101">
        <v>52</v>
      </c>
      <c r="B101" t="s">
        <v>142</v>
      </c>
      <c r="C101">
        <v>24</v>
      </c>
      <c r="D101" t="s">
        <v>143</v>
      </c>
      <c r="E101">
        <v>5</v>
      </c>
      <c r="F101" t="s">
        <v>75</v>
      </c>
      <c r="G101" t="s">
        <v>144</v>
      </c>
      <c r="H101" s="32">
        <v>7</v>
      </c>
      <c r="I101">
        <v>38</v>
      </c>
      <c r="J101">
        <v>0</v>
      </c>
      <c r="K101">
        <v>25</v>
      </c>
      <c r="L101" t="b">
        <v>0</v>
      </c>
    </row>
    <row r="102" spans="1:12" x14ac:dyDescent="0.25">
      <c r="A102">
        <v>2</v>
      </c>
      <c r="B102" t="s">
        <v>145</v>
      </c>
      <c r="C102">
        <v>1</v>
      </c>
      <c r="D102" t="s">
        <v>146</v>
      </c>
      <c r="E102">
        <v>1</v>
      </c>
      <c r="F102" t="s">
        <v>51</v>
      </c>
      <c r="G102" t="s">
        <v>59</v>
      </c>
      <c r="H102" s="32">
        <v>19</v>
      </c>
      <c r="I102">
        <v>17</v>
      </c>
      <c r="J102">
        <v>40</v>
      </c>
      <c r="K102">
        <v>25</v>
      </c>
      <c r="L102" t="b">
        <v>0</v>
      </c>
    </row>
    <row r="103" spans="1:12" x14ac:dyDescent="0.25">
      <c r="A103">
        <v>69</v>
      </c>
      <c r="B103" t="s">
        <v>147</v>
      </c>
      <c r="C103">
        <v>15</v>
      </c>
      <c r="D103" t="s">
        <v>90</v>
      </c>
      <c r="E103">
        <v>4</v>
      </c>
      <c r="F103" t="s">
        <v>55</v>
      </c>
      <c r="G103" t="s">
        <v>148</v>
      </c>
      <c r="H103" s="32">
        <v>36</v>
      </c>
      <c r="I103">
        <v>26</v>
      </c>
      <c r="J103">
        <v>0</v>
      </c>
      <c r="K103">
        <v>15</v>
      </c>
      <c r="L103" t="b">
        <v>0</v>
      </c>
    </row>
    <row r="104" spans="1:12" x14ac:dyDescent="0.25">
      <c r="A104">
        <v>44</v>
      </c>
      <c r="B104" t="s">
        <v>149</v>
      </c>
      <c r="C104">
        <v>20</v>
      </c>
      <c r="D104" t="s">
        <v>150</v>
      </c>
      <c r="E104">
        <v>2</v>
      </c>
      <c r="F104" t="s">
        <v>87</v>
      </c>
      <c r="G104" t="s">
        <v>151</v>
      </c>
      <c r="H104" s="32">
        <v>19.45</v>
      </c>
      <c r="I104">
        <v>27</v>
      </c>
      <c r="J104">
        <v>0</v>
      </c>
      <c r="K104">
        <v>15</v>
      </c>
      <c r="L104" t="b">
        <v>0</v>
      </c>
    </row>
    <row r="105" spans="1:12" x14ac:dyDescent="0.25">
      <c r="A105">
        <v>60</v>
      </c>
      <c r="B105" t="s">
        <v>152</v>
      </c>
      <c r="C105">
        <v>28</v>
      </c>
      <c r="D105" t="s">
        <v>68</v>
      </c>
      <c r="E105">
        <v>4</v>
      </c>
      <c r="F105" t="s">
        <v>55</v>
      </c>
      <c r="G105" t="s">
        <v>153</v>
      </c>
      <c r="H105" s="32">
        <v>34</v>
      </c>
      <c r="I105">
        <v>19</v>
      </c>
      <c r="J105">
        <v>0</v>
      </c>
      <c r="K105">
        <v>0</v>
      </c>
      <c r="L105" t="b">
        <v>0</v>
      </c>
    </row>
    <row r="106" spans="1:12" x14ac:dyDescent="0.25">
      <c r="A106">
        <v>37</v>
      </c>
      <c r="B106" t="s">
        <v>154</v>
      </c>
      <c r="C106">
        <v>17</v>
      </c>
      <c r="D106" t="s">
        <v>113</v>
      </c>
      <c r="E106">
        <v>8</v>
      </c>
      <c r="F106" t="s">
        <v>71</v>
      </c>
      <c r="G106" t="s">
        <v>155</v>
      </c>
      <c r="H106" s="32">
        <v>26</v>
      </c>
      <c r="I106">
        <v>11</v>
      </c>
      <c r="J106">
        <v>50</v>
      </c>
      <c r="K106">
        <v>25</v>
      </c>
      <c r="L106" t="b">
        <v>0</v>
      </c>
    </row>
    <row r="107" spans="1:12" x14ac:dyDescent="0.25">
      <c r="A107">
        <v>49</v>
      </c>
      <c r="B107" t="s">
        <v>156</v>
      </c>
      <c r="C107">
        <v>23</v>
      </c>
      <c r="D107" t="s">
        <v>136</v>
      </c>
      <c r="E107">
        <v>3</v>
      </c>
      <c r="F107" t="s">
        <v>47</v>
      </c>
      <c r="G107" t="s">
        <v>157</v>
      </c>
      <c r="H107" s="32">
        <v>20</v>
      </c>
      <c r="I107">
        <v>10</v>
      </c>
      <c r="J107">
        <v>60</v>
      </c>
      <c r="K107">
        <v>15</v>
      </c>
      <c r="L107" t="b">
        <v>0</v>
      </c>
    </row>
    <row r="108" spans="1:12" x14ac:dyDescent="0.25">
      <c r="A108">
        <v>51</v>
      </c>
      <c r="B108" t="s">
        <v>158</v>
      </c>
      <c r="C108">
        <v>24</v>
      </c>
      <c r="D108" t="s">
        <v>143</v>
      </c>
      <c r="E108">
        <v>7</v>
      </c>
      <c r="F108" t="s">
        <v>62</v>
      </c>
      <c r="G108" t="s">
        <v>159</v>
      </c>
      <c r="H108" s="32">
        <v>53</v>
      </c>
      <c r="I108">
        <v>20</v>
      </c>
      <c r="J108">
        <v>0</v>
      </c>
      <c r="K108">
        <v>10</v>
      </c>
      <c r="L108" t="b">
        <v>0</v>
      </c>
    </row>
    <row r="109" spans="1:12" x14ac:dyDescent="0.25">
      <c r="A109">
        <v>54</v>
      </c>
      <c r="B109" t="s">
        <v>160</v>
      </c>
      <c r="C109">
        <v>25</v>
      </c>
      <c r="D109" t="s">
        <v>161</v>
      </c>
      <c r="E109">
        <v>6</v>
      </c>
      <c r="F109" t="s">
        <v>126</v>
      </c>
      <c r="G109" t="s">
        <v>162</v>
      </c>
      <c r="H109" s="32">
        <v>7.45</v>
      </c>
      <c r="I109">
        <v>21</v>
      </c>
      <c r="J109">
        <v>0</v>
      </c>
      <c r="K109">
        <v>10</v>
      </c>
      <c r="L109" t="b">
        <v>0</v>
      </c>
    </row>
    <row r="110" spans="1:12" x14ac:dyDescent="0.25">
      <c r="A110">
        <v>62</v>
      </c>
      <c r="B110" t="s">
        <v>163</v>
      </c>
      <c r="C110">
        <v>29</v>
      </c>
      <c r="D110" t="s">
        <v>164</v>
      </c>
      <c r="E110">
        <v>3</v>
      </c>
      <c r="F110" t="s">
        <v>47</v>
      </c>
      <c r="G110" t="s">
        <v>165</v>
      </c>
      <c r="H110" s="32">
        <v>49.3</v>
      </c>
      <c r="I110">
        <v>17</v>
      </c>
      <c r="J110">
        <v>0</v>
      </c>
      <c r="K110">
        <v>0</v>
      </c>
      <c r="L110" t="b">
        <v>0</v>
      </c>
    </row>
    <row r="111" spans="1:12" x14ac:dyDescent="0.25">
      <c r="A111">
        <v>42</v>
      </c>
      <c r="B111" t="s">
        <v>166</v>
      </c>
      <c r="C111">
        <v>20</v>
      </c>
      <c r="D111" t="s">
        <v>150</v>
      </c>
      <c r="E111">
        <v>5</v>
      </c>
      <c r="F111" t="s">
        <v>75</v>
      </c>
      <c r="G111" t="s">
        <v>167</v>
      </c>
      <c r="H111" s="32">
        <v>14</v>
      </c>
      <c r="I111">
        <v>26</v>
      </c>
      <c r="J111">
        <v>0</v>
      </c>
      <c r="K111">
        <v>0</v>
      </c>
      <c r="L111" t="b">
        <v>1</v>
      </c>
    </row>
    <row r="112" spans="1:12" x14ac:dyDescent="0.25">
      <c r="A112">
        <v>70</v>
      </c>
      <c r="B112" t="s">
        <v>168</v>
      </c>
      <c r="C112">
        <v>7</v>
      </c>
      <c r="D112" t="s">
        <v>46</v>
      </c>
      <c r="E112">
        <v>1</v>
      </c>
      <c r="F112" t="s">
        <v>51</v>
      </c>
      <c r="G112" t="s">
        <v>169</v>
      </c>
      <c r="H112" s="32">
        <v>15</v>
      </c>
      <c r="I112">
        <v>15</v>
      </c>
      <c r="J112">
        <v>10</v>
      </c>
      <c r="K112">
        <v>30</v>
      </c>
      <c r="L112" t="b">
        <v>0</v>
      </c>
    </row>
    <row r="113" spans="1:12" x14ac:dyDescent="0.25">
      <c r="A113">
        <v>5</v>
      </c>
      <c r="B113" t="s">
        <v>170</v>
      </c>
      <c r="C113">
        <v>2</v>
      </c>
      <c r="D113" t="s">
        <v>120</v>
      </c>
      <c r="E113">
        <v>2</v>
      </c>
      <c r="F113" t="s">
        <v>87</v>
      </c>
      <c r="G113" t="s">
        <v>171</v>
      </c>
      <c r="H113" s="32">
        <v>21.35</v>
      </c>
      <c r="I113">
        <v>0</v>
      </c>
      <c r="J113">
        <v>0</v>
      </c>
      <c r="K113">
        <v>0</v>
      </c>
      <c r="L113" t="b">
        <v>1</v>
      </c>
    </row>
    <row r="114" spans="1:12" x14ac:dyDescent="0.25">
      <c r="A114">
        <v>55</v>
      </c>
      <c r="B114" t="s">
        <v>172</v>
      </c>
      <c r="C114">
        <v>25</v>
      </c>
      <c r="D114" t="s">
        <v>161</v>
      </c>
      <c r="E114">
        <v>6</v>
      </c>
      <c r="F114" t="s">
        <v>126</v>
      </c>
      <c r="G114" t="s">
        <v>173</v>
      </c>
      <c r="H114" s="32">
        <v>24</v>
      </c>
      <c r="I114">
        <v>115</v>
      </c>
      <c r="J114">
        <v>0</v>
      </c>
      <c r="K114">
        <v>20</v>
      </c>
      <c r="L114" t="b">
        <v>0</v>
      </c>
    </row>
    <row r="115" spans="1:12" x14ac:dyDescent="0.25">
      <c r="A115">
        <v>14</v>
      </c>
      <c r="B115" t="s">
        <v>174</v>
      </c>
      <c r="C115">
        <v>6</v>
      </c>
      <c r="D115" t="s">
        <v>129</v>
      </c>
      <c r="E115">
        <v>7</v>
      </c>
      <c r="F115" t="s">
        <v>62</v>
      </c>
      <c r="G115" t="s">
        <v>175</v>
      </c>
      <c r="H115" s="32">
        <v>23.25</v>
      </c>
      <c r="I115">
        <v>35</v>
      </c>
      <c r="J115">
        <v>0</v>
      </c>
      <c r="K115">
        <v>0</v>
      </c>
      <c r="L115" t="b">
        <v>0</v>
      </c>
    </row>
    <row r="116" spans="1:12" x14ac:dyDescent="0.25">
      <c r="A116">
        <v>40</v>
      </c>
      <c r="B116" t="s">
        <v>176</v>
      </c>
      <c r="C116">
        <v>19</v>
      </c>
      <c r="D116" t="s">
        <v>123</v>
      </c>
      <c r="E116">
        <v>8</v>
      </c>
      <c r="F116" t="s">
        <v>71</v>
      </c>
      <c r="G116" t="s">
        <v>177</v>
      </c>
      <c r="H116" s="32">
        <v>18.399999999999999</v>
      </c>
      <c r="I116">
        <v>123</v>
      </c>
      <c r="J116">
        <v>0</v>
      </c>
      <c r="K116">
        <v>30</v>
      </c>
      <c r="L116" t="b">
        <v>0</v>
      </c>
    </row>
    <row r="117" spans="1:12" x14ac:dyDescent="0.25">
      <c r="A117">
        <v>1</v>
      </c>
      <c r="B117" t="s">
        <v>178</v>
      </c>
      <c r="C117">
        <v>1</v>
      </c>
      <c r="D117" t="s">
        <v>146</v>
      </c>
      <c r="E117">
        <v>1</v>
      </c>
      <c r="F117" t="s">
        <v>51</v>
      </c>
      <c r="G117" t="s">
        <v>179</v>
      </c>
      <c r="H117" s="32">
        <v>18</v>
      </c>
      <c r="I117">
        <v>39</v>
      </c>
      <c r="J117">
        <v>0</v>
      </c>
      <c r="K117">
        <v>10</v>
      </c>
      <c r="L117" t="b">
        <v>0</v>
      </c>
    </row>
    <row r="118" spans="1:12" x14ac:dyDescent="0.25">
      <c r="A118">
        <v>66</v>
      </c>
      <c r="B118" t="s">
        <v>180</v>
      </c>
      <c r="C118">
        <v>2</v>
      </c>
      <c r="D118" t="s">
        <v>120</v>
      </c>
      <c r="E118">
        <v>2</v>
      </c>
      <c r="F118" t="s">
        <v>87</v>
      </c>
      <c r="G118" t="s">
        <v>181</v>
      </c>
      <c r="H118" s="32">
        <v>17</v>
      </c>
      <c r="I118">
        <v>4</v>
      </c>
      <c r="J118">
        <v>100</v>
      </c>
      <c r="K118">
        <v>20</v>
      </c>
      <c r="L118" t="b">
        <v>0</v>
      </c>
    </row>
    <row r="119" spans="1:12" x14ac:dyDescent="0.25">
      <c r="A119">
        <v>15</v>
      </c>
      <c r="B119" t="s">
        <v>182</v>
      </c>
      <c r="C119">
        <v>6</v>
      </c>
      <c r="D119" t="s">
        <v>129</v>
      </c>
      <c r="E119">
        <v>2</v>
      </c>
      <c r="F119" t="s">
        <v>87</v>
      </c>
      <c r="G119" t="s">
        <v>183</v>
      </c>
      <c r="H119" s="32">
        <v>15.5</v>
      </c>
      <c r="I119">
        <v>39</v>
      </c>
      <c r="J119">
        <v>0</v>
      </c>
      <c r="K119">
        <v>5</v>
      </c>
      <c r="L119" t="b">
        <v>0</v>
      </c>
    </row>
    <row r="120" spans="1:12" x14ac:dyDescent="0.25">
      <c r="A120">
        <v>19</v>
      </c>
      <c r="B120" t="s">
        <v>184</v>
      </c>
      <c r="C120">
        <v>8</v>
      </c>
      <c r="D120" t="s">
        <v>93</v>
      </c>
      <c r="E120">
        <v>3</v>
      </c>
      <c r="F120" t="s">
        <v>47</v>
      </c>
      <c r="G120" t="s">
        <v>185</v>
      </c>
      <c r="H120" s="32">
        <v>9.1999999999999993</v>
      </c>
      <c r="I120">
        <v>25</v>
      </c>
      <c r="J120">
        <v>0</v>
      </c>
      <c r="K120">
        <v>5</v>
      </c>
      <c r="L120" t="b">
        <v>0</v>
      </c>
    </row>
    <row r="121" spans="1:12" x14ac:dyDescent="0.25">
      <c r="A121">
        <v>72</v>
      </c>
      <c r="B121" t="s">
        <v>186</v>
      </c>
      <c r="C121">
        <v>14</v>
      </c>
      <c r="D121" t="s">
        <v>187</v>
      </c>
      <c r="E121">
        <v>4</v>
      </c>
      <c r="F121" t="s">
        <v>55</v>
      </c>
      <c r="G121" t="s">
        <v>188</v>
      </c>
      <c r="H121" s="32">
        <v>34.799999999999997</v>
      </c>
      <c r="I121">
        <v>14</v>
      </c>
      <c r="J121">
        <v>0</v>
      </c>
      <c r="K121">
        <v>0</v>
      </c>
      <c r="L121" t="b">
        <v>0</v>
      </c>
    </row>
    <row r="122" spans="1:12" x14ac:dyDescent="0.25">
      <c r="A122">
        <v>23</v>
      </c>
      <c r="B122" t="s">
        <v>189</v>
      </c>
      <c r="C122">
        <v>9</v>
      </c>
      <c r="D122" t="s">
        <v>190</v>
      </c>
      <c r="E122">
        <v>5</v>
      </c>
      <c r="F122" t="s">
        <v>75</v>
      </c>
      <c r="G122" t="s">
        <v>191</v>
      </c>
      <c r="H122" s="32">
        <v>9</v>
      </c>
      <c r="I122">
        <v>61</v>
      </c>
      <c r="J122">
        <v>0</v>
      </c>
      <c r="K122">
        <v>25</v>
      </c>
      <c r="L122" t="b">
        <v>0</v>
      </c>
    </row>
    <row r="123" spans="1:12" x14ac:dyDescent="0.25">
      <c r="A123">
        <v>22</v>
      </c>
      <c r="B123" t="s">
        <v>192</v>
      </c>
      <c r="C123">
        <v>9</v>
      </c>
      <c r="D123" t="s">
        <v>190</v>
      </c>
      <c r="E123">
        <v>5</v>
      </c>
      <c r="F123" t="s">
        <v>75</v>
      </c>
      <c r="G123" t="s">
        <v>193</v>
      </c>
      <c r="H123" s="32">
        <v>21</v>
      </c>
      <c r="I123">
        <v>104</v>
      </c>
      <c r="J123">
        <v>0</v>
      </c>
      <c r="K123">
        <v>25</v>
      </c>
      <c r="L123" t="b">
        <v>0</v>
      </c>
    </row>
    <row r="124" spans="1:12" x14ac:dyDescent="0.25">
      <c r="A124">
        <v>71</v>
      </c>
      <c r="B124" t="s">
        <v>194</v>
      </c>
      <c r="C124">
        <v>15</v>
      </c>
      <c r="D124" t="s">
        <v>90</v>
      </c>
      <c r="E124">
        <v>4</v>
      </c>
      <c r="F124" t="s">
        <v>55</v>
      </c>
      <c r="G124" t="s">
        <v>56</v>
      </c>
      <c r="H124" s="32">
        <v>21.5</v>
      </c>
      <c r="I124">
        <v>26</v>
      </c>
      <c r="J124">
        <v>0</v>
      </c>
      <c r="K124">
        <v>0</v>
      </c>
      <c r="L124" t="b">
        <v>0</v>
      </c>
    </row>
    <row r="125" spans="1:12" x14ac:dyDescent="0.25">
      <c r="A125">
        <v>73</v>
      </c>
      <c r="B125" t="s">
        <v>195</v>
      </c>
      <c r="C125">
        <v>17</v>
      </c>
      <c r="D125" t="s">
        <v>113</v>
      </c>
      <c r="E125">
        <v>8</v>
      </c>
      <c r="F125" t="s">
        <v>71</v>
      </c>
      <c r="G125" t="s">
        <v>196</v>
      </c>
      <c r="H125" s="32">
        <v>15</v>
      </c>
      <c r="I125">
        <v>101</v>
      </c>
      <c r="J125">
        <v>0</v>
      </c>
      <c r="K125">
        <v>5</v>
      </c>
      <c r="L125" t="b">
        <v>0</v>
      </c>
    </row>
    <row r="126" spans="1:12" x14ac:dyDescent="0.25">
      <c r="A126">
        <v>31</v>
      </c>
      <c r="B126" t="s">
        <v>197</v>
      </c>
      <c r="C126">
        <v>14</v>
      </c>
      <c r="D126" t="s">
        <v>187</v>
      </c>
      <c r="E126">
        <v>4</v>
      </c>
      <c r="F126" t="s">
        <v>55</v>
      </c>
      <c r="G126" t="s">
        <v>198</v>
      </c>
      <c r="H126" s="32">
        <v>12.5</v>
      </c>
      <c r="I126">
        <v>0</v>
      </c>
      <c r="J126">
        <v>70</v>
      </c>
      <c r="K126">
        <v>20</v>
      </c>
      <c r="L126" t="b">
        <v>0</v>
      </c>
    </row>
    <row r="127" spans="1:12" x14ac:dyDescent="0.25">
      <c r="A127">
        <v>58</v>
      </c>
      <c r="B127" t="s">
        <v>199</v>
      </c>
      <c r="C127">
        <v>27</v>
      </c>
      <c r="D127" t="s">
        <v>200</v>
      </c>
      <c r="E127">
        <v>8</v>
      </c>
      <c r="F127" t="s">
        <v>71</v>
      </c>
      <c r="G127" t="s">
        <v>201</v>
      </c>
      <c r="H127" s="32">
        <v>13.25</v>
      </c>
      <c r="I127">
        <v>62</v>
      </c>
      <c r="J127">
        <v>0</v>
      </c>
      <c r="K127">
        <v>20</v>
      </c>
      <c r="L127" t="b">
        <v>0</v>
      </c>
    </row>
    <row r="128" spans="1:12" x14ac:dyDescent="0.25">
      <c r="A128">
        <v>76</v>
      </c>
      <c r="B128" t="s">
        <v>202</v>
      </c>
      <c r="C128">
        <v>23</v>
      </c>
      <c r="D128" t="s">
        <v>136</v>
      </c>
      <c r="E128">
        <v>1</v>
      </c>
      <c r="F128" t="s">
        <v>51</v>
      </c>
      <c r="G128" t="s">
        <v>203</v>
      </c>
      <c r="H128" s="32">
        <v>18</v>
      </c>
      <c r="I128">
        <v>57</v>
      </c>
      <c r="J128">
        <v>0</v>
      </c>
      <c r="K128">
        <v>20</v>
      </c>
      <c r="L128" t="b">
        <v>0</v>
      </c>
    </row>
    <row r="129" spans="1:12" x14ac:dyDescent="0.25">
      <c r="A129">
        <v>32</v>
      </c>
      <c r="B129" t="s">
        <v>204</v>
      </c>
      <c r="C129">
        <v>14</v>
      </c>
      <c r="D129" t="s">
        <v>187</v>
      </c>
      <c r="E129">
        <v>4</v>
      </c>
      <c r="F129" t="s">
        <v>55</v>
      </c>
      <c r="G129" t="s">
        <v>188</v>
      </c>
      <c r="H129" s="32">
        <v>32</v>
      </c>
      <c r="I129">
        <v>9</v>
      </c>
      <c r="J129">
        <v>40</v>
      </c>
      <c r="K129">
        <v>25</v>
      </c>
      <c r="L129" t="b">
        <v>0</v>
      </c>
    </row>
    <row r="130" spans="1:12" x14ac:dyDescent="0.25">
      <c r="A130">
        <v>34</v>
      </c>
      <c r="B130" t="s">
        <v>205</v>
      </c>
      <c r="C130">
        <v>16</v>
      </c>
      <c r="D130" t="s">
        <v>58</v>
      </c>
      <c r="E130">
        <v>1</v>
      </c>
      <c r="F130" t="s">
        <v>51</v>
      </c>
      <c r="G130" t="s">
        <v>59</v>
      </c>
      <c r="H130" s="32">
        <v>14</v>
      </c>
      <c r="I130">
        <v>111</v>
      </c>
      <c r="J130">
        <v>0</v>
      </c>
      <c r="K130">
        <v>15</v>
      </c>
      <c r="L130" t="b">
        <v>0</v>
      </c>
    </row>
    <row r="131" spans="1:12" x14ac:dyDescent="0.25">
      <c r="A131">
        <v>20</v>
      </c>
      <c r="B131" t="s">
        <v>206</v>
      </c>
      <c r="C131">
        <v>8</v>
      </c>
      <c r="D131" t="s">
        <v>93</v>
      </c>
      <c r="E131">
        <v>3</v>
      </c>
      <c r="F131" t="s">
        <v>47</v>
      </c>
      <c r="G131" t="s">
        <v>207</v>
      </c>
      <c r="H131" s="32">
        <v>81</v>
      </c>
      <c r="I131">
        <v>40</v>
      </c>
      <c r="J131">
        <v>0</v>
      </c>
      <c r="K131">
        <v>0</v>
      </c>
      <c r="L131" t="b">
        <v>0</v>
      </c>
    </row>
    <row r="132" spans="1:12" x14ac:dyDescent="0.25">
      <c r="A132">
        <v>61</v>
      </c>
      <c r="B132" t="s">
        <v>208</v>
      </c>
      <c r="C132">
        <v>29</v>
      </c>
      <c r="D132" t="s">
        <v>164</v>
      </c>
      <c r="E132">
        <v>2</v>
      </c>
      <c r="F132" t="s">
        <v>87</v>
      </c>
      <c r="G132" t="s">
        <v>209</v>
      </c>
      <c r="H132" s="32">
        <v>28.5</v>
      </c>
      <c r="I132">
        <v>113</v>
      </c>
      <c r="J132">
        <v>0</v>
      </c>
      <c r="K132">
        <v>25</v>
      </c>
      <c r="L132" t="b">
        <v>0</v>
      </c>
    </row>
    <row r="133" spans="1:12" x14ac:dyDescent="0.25">
      <c r="A133">
        <v>43</v>
      </c>
      <c r="B133" t="s">
        <v>210</v>
      </c>
      <c r="C133">
        <v>20</v>
      </c>
      <c r="D133" t="s">
        <v>150</v>
      </c>
      <c r="E133">
        <v>1</v>
      </c>
      <c r="F133" t="s">
        <v>51</v>
      </c>
      <c r="G133" t="s">
        <v>211</v>
      </c>
      <c r="H133" s="32">
        <v>46</v>
      </c>
      <c r="I133">
        <v>17</v>
      </c>
      <c r="J133">
        <v>10</v>
      </c>
      <c r="K133">
        <v>25</v>
      </c>
      <c r="L133" t="b">
        <v>0</v>
      </c>
    </row>
    <row r="134" spans="1:12" x14ac:dyDescent="0.25">
      <c r="A134">
        <v>53</v>
      </c>
      <c r="B134" t="s">
        <v>212</v>
      </c>
      <c r="C134">
        <v>24</v>
      </c>
      <c r="D134" t="s">
        <v>143</v>
      </c>
      <c r="E134">
        <v>6</v>
      </c>
      <c r="F134" t="s">
        <v>126</v>
      </c>
      <c r="G134" t="s">
        <v>213</v>
      </c>
      <c r="H134" s="32">
        <v>32.799999999999997</v>
      </c>
      <c r="I134">
        <v>0</v>
      </c>
      <c r="J134">
        <v>0</v>
      </c>
      <c r="K134">
        <v>0</v>
      </c>
      <c r="L134" t="b">
        <v>1</v>
      </c>
    </row>
    <row r="135" spans="1:12" x14ac:dyDescent="0.25">
      <c r="A135">
        <v>29</v>
      </c>
      <c r="B135" t="s">
        <v>214</v>
      </c>
      <c r="C135">
        <v>12</v>
      </c>
      <c r="D135" t="s">
        <v>61</v>
      </c>
      <c r="E135">
        <v>6</v>
      </c>
      <c r="F135" t="s">
        <v>126</v>
      </c>
      <c r="G135" t="s">
        <v>215</v>
      </c>
      <c r="H135" s="32">
        <v>123.79</v>
      </c>
      <c r="I135">
        <v>0</v>
      </c>
      <c r="J135">
        <v>0</v>
      </c>
      <c r="K135">
        <v>0</v>
      </c>
      <c r="L135" t="b">
        <v>1</v>
      </c>
    </row>
    <row r="136" spans="1:12" x14ac:dyDescent="0.25">
      <c r="A136">
        <v>10</v>
      </c>
      <c r="B136" t="s">
        <v>216</v>
      </c>
      <c r="C136">
        <v>4</v>
      </c>
      <c r="D136" t="s">
        <v>109</v>
      </c>
      <c r="E136">
        <v>8</v>
      </c>
      <c r="F136" t="s">
        <v>71</v>
      </c>
      <c r="G136" t="s">
        <v>217</v>
      </c>
      <c r="H136" s="32">
        <v>31</v>
      </c>
      <c r="I136">
        <v>31</v>
      </c>
      <c r="J136">
        <v>0</v>
      </c>
      <c r="K136">
        <v>0</v>
      </c>
      <c r="L136" t="b">
        <v>0</v>
      </c>
    </row>
    <row r="137" spans="1:12" x14ac:dyDescent="0.25">
      <c r="A137">
        <v>9</v>
      </c>
      <c r="B137" t="s">
        <v>218</v>
      </c>
      <c r="C137">
        <v>4</v>
      </c>
      <c r="D137" t="s">
        <v>109</v>
      </c>
      <c r="E137">
        <v>6</v>
      </c>
      <c r="F137" t="s">
        <v>126</v>
      </c>
      <c r="G137" t="s">
        <v>219</v>
      </c>
      <c r="H137" s="32">
        <v>97</v>
      </c>
      <c r="I137">
        <v>29</v>
      </c>
      <c r="J137">
        <v>0</v>
      </c>
      <c r="K137">
        <v>0</v>
      </c>
      <c r="L137" t="b">
        <v>1</v>
      </c>
    </row>
    <row r="138" spans="1:12" x14ac:dyDescent="0.25">
      <c r="A138">
        <v>3</v>
      </c>
      <c r="B138" t="s">
        <v>220</v>
      </c>
      <c r="C138">
        <v>1</v>
      </c>
      <c r="D138" t="s">
        <v>146</v>
      </c>
      <c r="E138">
        <v>2</v>
      </c>
      <c r="F138" t="s">
        <v>87</v>
      </c>
      <c r="G138" t="s">
        <v>221</v>
      </c>
      <c r="H138" s="32">
        <v>10</v>
      </c>
      <c r="I138">
        <v>13</v>
      </c>
      <c r="J138">
        <v>70</v>
      </c>
      <c r="K138">
        <v>25</v>
      </c>
      <c r="L138" t="b">
        <v>0</v>
      </c>
    </row>
    <row r="139" spans="1:12" x14ac:dyDescent="0.25">
      <c r="A139">
        <v>45</v>
      </c>
      <c r="B139" t="s">
        <v>222</v>
      </c>
      <c r="C139">
        <v>21</v>
      </c>
      <c r="D139" t="s">
        <v>103</v>
      </c>
      <c r="E139">
        <v>8</v>
      </c>
      <c r="F139" t="s">
        <v>71</v>
      </c>
      <c r="G139" t="s">
        <v>223</v>
      </c>
      <c r="H139" s="32">
        <v>9.5</v>
      </c>
      <c r="I139">
        <v>5</v>
      </c>
      <c r="J139">
        <v>70</v>
      </c>
      <c r="K139">
        <v>15</v>
      </c>
      <c r="L139" t="b">
        <v>0</v>
      </c>
    </row>
    <row r="140" spans="1:12" x14ac:dyDescent="0.25">
      <c r="A140">
        <v>21</v>
      </c>
      <c r="B140" t="s">
        <v>224</v>
      </c>
      <c r="C140">
        <v>8</v>
      </c>
      <c r="D140" t="s">
        <v>93</v>
      </c>
      <c r="E140">
        <v>3</v>
      </c>
      <c r="F140" t="s">
        <v>47</v>
      </c>
      <c r="G140" t="s">
        <v>225</v>
      </c>
      <c r="H140" s="32">
        <v>10</v>
      </c>
      <c r="I140">
        <v>3</v>
      </c>
      <c r="J140">
        <v>40</v>
      </c>
      <c r="K140">
        <v>5</v>
      </c>
      <c r="L140" t="b">
        <v>0</v>
      </c>
    </row>
    <row r="141" spans="1:12" x14ac:dyDescent="0.25">
      <c r="A141">
        <v>48</v>
      </c>
      <c r="B141" t="s">
        <v>226</v>
      </c>
      <c r="C141">
        <v>22</v>
      </c>
      <c r="D141" t="s">
        <v>96</v>
      </c>
      <c r="E141">
        <v>3</v>
      </c>
      <c r="F141" t="s">
        <v>47</v>
      </c>
      <c r="G141" t="s">
        <v>227</v>
      </c>
      <c r="H141" s="32">
        <v>12.75</v>
      </c>
      <c r="I141">
        <v>15</v>
      </c>
      <c r="J141">
        <v>70</v>
      </c>
      <c r="K141">
        <v>25</v>
      </c>
      <c r="L141" t="b">
        <v>0</v>
      </c>
    </row>
    <row r="142" spans="1:12" x14ac:dyDescent="0.25">
      <c r="A142">
        <v>56</v>
      </c>
      <c r="B142" t="s">
        <v>228</v>
      </c>
      <c r="C142">
        <v>26</v>
      </c>
      <c r="D142" t="s">
        <v>74</v>
      </c>
      <c r="E142">
        <v>5</v>
      </c>
      <c r="F142" t="s">
        <v>75</v>
      </c>
      <c r="G142" t="s">
        <v>76</v>
      </c>
      <c r="H142" s="32">
        <v>38</v>
      </c>
      <c r="I142">
        <v>21</v>
      </c>
      <c r="J142">
        <v>10</v>
      </c>
      <c r="K142">
        <v>30</v>
      </c>
      <c r="L142" t="b">
        <v>0</v>
      </c>
    </row>
    <row r="143" spans="1:12" x14ac:dyDescent="0.25">
      <c r="A143" t="s">
        <v>231</v>
      </c>
      <c r="B143">
        <f>SUBTOTAL(103,Tabla2[Nombre Producto])</f>
        <v>77</v>
      </c>
      <c r="C143">
        <f>SUBTOTAL(103,Tabla2[Id Proveedor])</f>
        <v>77</v>
      </c>
      <c r="D143">
        <f>SUBTOTAL(103,Tabla2[Nombre de Proveedor])</f>
        <v>77</v>
      </c>
      <c r="E143">
        <f>SUBTOTAL(109,Tabla2[Id Categoría])</f>
        <v>317</v>
      </c>
      <c r="F143">
        <f>SUBTOTAL(103,Tabla2[Nombre Categoria])</f>
        <v>77</v>
      </c>
      <c r="G143">
        <f>SUBTOTAL(103,Tabla2[Cantidad Por Unidad])</f>
        <v>77</v>
      </c>
      <c r="H143" s="32">
        <f>SUBTOTAL(109,Tabla2[Precio Unidad])</f>
        <v>2222.71</v>
      </c>
      <c r="I143">
        <f>SUBTOTAL(109,Tabla2[Unidades En Existencia])</f>
        <v>3119</v>
      </c>
      <c r="J143">
        <f>SUBTOTAL(109,Tabla2[Unidades En Pedido])</f>
        <v>780</v>
      </c>
      <c r="K143">
        <f>SUBTOTAL(109,Tabla2[Nivel Nuevo Pedido])</f>
        <v>960</v>
      </c>
      <c r="L143">
        <f>SUBTOTAL(103,Tabla2[Suspendido])</f>
        <v>77</v>
      </c>
    </row>
  </sheetData>
  <mergeCells count="53">
    <mergeCell ref="A62:B62"/>
    <mergeCell ref="A48:B48"/>
    <mergeCell ref="A49:B49"/>
    <mergeCell ref="A50:B50"/>
    <mergeCell ref="A51:B51"/>
    <mergeCell ref="A52:B52"/>
    <mergeCell ref="A53:B53"/>
    <mergeCell ref="A61:B61"/>
    <mergeCell ref="A46:I46"/>
    <mergeCell ref="A56:I56"/>
    <mergeCell ref="A58:B58"/>
    <mergeCell ref="A59:B59"/>
    <mergeCell ref="A60:B60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:G5"/>
    <mergeCell ref="A7:G7"/>
    <mergeCell ref="A9:B9"/>
    <mergeCell ref="C9:D9"/>
    <mergeCell ref="A10:B10"/>
    <mergeCell ref="C10:D10"/>
  </mergeCells>
  <conditionalFormatting sqref="E33:E44">
    <cfRule type="dataBar" priority="1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{8B490502-F746-44CE-A5D6-18B1C3483904}</x14:id>
        </ext>
      </extLst>
    </cfRule>
    <cfRule type="dataBar" priority="1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{D639292B-4D46-46E3-8727-2037FA013E72}</x14:id>
        </ext>
      </extLst>
    </cfRule>
  </conditionalFormatting>
  <conditionalFormatting sqref="B33">
    <cfRule type="containsText" dxfId="10" priority="11" operator="containsText" text="ARMANDO">
      <formula>NOT(ISERROR(SEARCH("ARMANDO",B33)))</formula>
    </cfRule>
  </conditionalFormatting>
  <conditionalFormatting sqref="B33:B44">
    <cfRule type="containsText" dxfId="9" priority="8" operator="containsText" text="PEDRO">
      <formula>NOT(ISERROR(SEARCH("PEDRO",B33)))</formula>
    </cfRule>
    <cfRule type="containsText" dxfId="8" priority="9" operator="containsText" text="LETICIA">
      <formula>NOT(ISERROR(SEARCH("LETICIA",B33)))</formula>
    </cfRule>
    <cfRule type="containsText" dxfId="7" priority="10" operator="containsText" text="ARMANDO">
      <formula>NOT(ISERROR(SEARCH("ARMANDO",B33)))</formula>
    </cfRule>
  </conditionalFormatting>
  <conditionalFormatting sqref="A33:A44">
    <cfRule type="cellIs" dxfId="6" priority="6" operator="lessThan">
      <formula>50</formula>
    </cfRule>
  </conditionalFormatting>
  <conditionalFormatting sqref="D33:D44">
    <cfRule type="duplicateValues" dxfId="3" priority="4"/>
  </conditionalFormatting>
  <conditionalFormatting sqref="C33:C44">
    <cfRule type="cellIs" dxfId="0" priority="1" operator="between">
      <formula>70</formula>
      <formula>90</formula>
    </cfRule>
  </conditionalFormatting>
  <dataValidations count="5">
    <dataValidation type="whole" allowBlank="1" showInputMessage="1" showErrorMessage="1" errorTitle="Error" error="El número no está dentro del rango permitido o es un decimal" promptTitle="Nota" prompt="Sólo admite números enteros del 101 al 200" sqref="C49">
      <formula1>101</formula1>
      <formula2>200</formula2>
    </dataValidation>
    <dataValidation type="whole" errorStyle="warning" operator="notBetween" allowBlank="1" showInputMessage="1" showErrorMessage="1" errorTitle="Advertencia" error="Los números no están dentro del rango permitido o es un decimal" promptTitle="Nota" prompt="Sólo admite números enteros que no estén entre 10 y 20" sqref="C51">
      <formula1>10</formula1>
      <formula2>20</formula2>
    </dataValidation>
    <dataValidation type="decimal" errorStyle="warning" operator="notBetween" allowBlank="1" showInputMessage="1" showErrorMessage="1" errorTitle="Error" error="La cantidad de decimales no está dentro del rango permitido y puede afectar en cualquier momento" prompt="Sólo admite números negativos con dos decimales" sqref="C48">
      <formula1>5</formula1>
      <formula2>10</formula2>
    </dataValidation>
    <dataValidation type="date" errorStyle="information" operator="greaterThan" allowBlank="1" showInputMessage="1" showErrorMessage="1" error="La fecha indicada es inferior al rango permitido" prompt="Sólo permite introducir fechas del año 2021" sqref="C50">
      <formula1>44196</formula1>
    </dataValidation>
    <dataValidation type="textLength" operator="equal" allowBlank="1" showInputMessage="1" showErrorMessage="1" errorTitle="Error" error="El número de caracteres no es válido" promptTitle="Mensaje" prompt="Proporcione su CURP con los 18 caracteres" sqref="C52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490502-F746-44CE-A5D6-18B1C34839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39292B-4D46-46E3-8727-2037FA013E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E33:E44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Países'!$A$1:$A$5</xm:f>
          </x14:formula1>
          <xm:sqref>C53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baseColWidth="10" defaultRowHeight="15" x14ac:dyDescent="0.25"/>
  <sheetData>
    <row r="1" spans="1:1" x14ac:dyDescent="0.25">
      <c r="A1" t="s">
        <v>246</v>
      </c>
    </row>
    <row r="2" spans="1:1" x14ac:dyDescent="0.25">
      <c r="A2" t="s">
        <v>244</v>
      </c>
    </row>
    <row r="3" spans="1:1" x14ac:dyDescent="0.25">
      <c r="A3" t="s">
        <v>243</v>
      </c>
    </row>
    <row r="4" spans="1:1" x14ac:dyDescent="0.25">
      <c r="A4" t="s">
        <v>245</v>
      </c>
    </row>
    <row r="5" spans="1:1" x14ac:dyDescent="0.25">
      <c r="A5" t="s">
        <v>242</v>
      </c>
    </row>
  </sheetData>
  <sortState ref="A1:A5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Lista Países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Veronica Maria Esther Lezama Castillo</cp:lastModifiedBy>
  <cp:lastPrinted>2021-04-23T15:04:58Z</cp:lastPrinted>
  <dcterms:created xsi:type="dcterms:W3CDTF">2021-04-23T13:59:34Z</dcterms:created>
  <dcterms:modified xsi:type="dcterms:W3CDTF">2021-10-10T05:38:38Z</dcterms:modified>
</cp:coreProperties>
</file>